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Business_Analytics_Sales_Project\"/>
    </mc:Choice>
  </mc:AlternateContent>
  <xr:revisionPtr revIDLastSave="0" documentId="13_ncr:1_{FF8E8DA3-D73A-4B00-B4B3-7D78F201E4A6}" xr6:coauthVersionLast="47" xr6:coauthVersionMax="47" xr10:uidLastSave="{00000000-0000-0000-0000-000000000000}"/>
  <bookViews>
    <workbookView xWindow="-108" yWindow="-108" windowWidth="19416" windowHeight="10416" activeTab="5" xr2:uid="{7E38A49B-3254-4BFA-9783-A9C0549EEE94}"/>
  </bookViews>
  <sheets>
    <sheet name="Data" sheetId="1" r:id="rId1"/>
    <sheet name="Q1&amp;2" sheetId="3" r:id="rId2"/>
    <sheet name="Q3&amp;Q4" sheetId="13" r:id="rId3"/>
    <sheet name="Segment Analysis" sheetId="18" r:id="rId4"/>
    <sheet name="KPIs" sheetId="15" r:id="rId5"/>
    <sheet name="Dashboard" sheetId="16" r:id="rId6"/>
  </sheets>
  <externalReferences>
    <externalReference r:id="rId7"/>
    <externalReference r:id="rId8"/>
  </externalReferenc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2" i="1" l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2" i="1"/>
</calcChain>
</file>

<file path=xl/sharedStrings.xml><?xml version="1.0" encoding="utf-8"?>
<sst xmlns="http://schemas.openxmlformats.org/spreadsheetml/2006/main" count="7267" uniqueCount="1556">
  <si>
    <t>Order_ID</t>
  </si>
  <si>
    <t>Order_Date</t>
  </si>
  <si>
    <t>Customer_ID</t>
  </si>
  <si>
    <t>Customer_Segment</t>
  </si>
  <si>
    <t>Product</t>
  </si>
  <si>
    <t>Category</t>
  </si>
  <si>
    <t>Region</t>
  </si>
  <si>
    <t>Quantity</t>
  </si>
  <si>
    <t>Unit_Price</t>
  </si>
  <si>
    <t>Discount</t>
  </si>
  <si>
    <t>Sales</t>
  </si>
  <si>
    <t>Profit</t>
  </si>
  <si>
    <t>ORD00513</t>
  </si>
  <si>
    <t>CUST0188</t>
  </si>
  <si>
    <t>Consumer</t>
  </si>
  <si>
    <t>Notebook Set</t>
  </si>
  <si>
    <t>Office Supplies</t>
  </si>
  <si>
    <t>South</t>
  </si>
  <si>
    <t>ORD00054</t>
  </si>
  <si>
    <t>CUST0156</t>
  </si>
  <si>
    <t>Office Chair</t>
  </si>
  <si>
    <t>Furniture</t>
  </si>
  <si>
    <t>East</t>
  </si>
  <si>
    <t>ORD00159</t>
  </si>
  <si>
    <t>CUST0063</t>
  </si>
  <si>
    <t>Small Business</t>
  </si>
  <si>
    <t>Mechanical Keyboard</t>
  </si>
  <si>
    <t>Technology</t>
  </si>
  <si>
    <t>West</t>
  </si>
  <si>
    <t>ORD00321</t>
  </si>
  <si>
    <t>CUST0245</t>
  </si>
  <si>
    <t>Desk Lamp</t>
  </si>
  <si>
    <t>North</t>
  </si>
  <si>
    <t>ORD00874</t>
  </si>
  <si>
    <t>CUST0251</t>
  </si>
  <si>
    <t>ORD00527</t>
  </si>
  <si>
    <t>CUST0074</t>
  </si>
  <si>
    <t>24-inch Monitor</t>
  </si>
  <si>
    <t>ORD00939</t>
  </si>
  <si>
    <t>CUST0132</t>
  </si>
  <si>
    <t>Corporate</t>
  </si>
  <si>
    <t>Backpack</t>
  </si>
  <si>
    <t>Lifestyle</t>
  </si>
  <si>
    <t>ORD00713</t>
  </si>
  <si>
    <t>CUST0167</t>
  </si>
  <si>
    <t>ORD00786</t>
  </si>
  <si>
    <t>CUST0207</t>
  </si>
  <si>
    <t>ORD00650</t>
  </si>
  <si>
    <t>CUST0025</t>
  </si>
  <si>
    <t>ORD00167</t>
  </si>
  <si>
    <t>CUST0241</t>
  </si>
  <si>
    <t>Laptop Pro 14</t>
  </si>
  <si>
    <t>ORD00365</t>
  </si>
  <si>
    <t>CUST0166</t>
  </si>
  <si>
    <t>Wireless Mouse</t>
  </si>
  <si>
    <t>ORD00302</t>
  </si>
  <si>
    <t>Standing Desk</t>
  </si>
  <si>
    <t>ORD00322</t>
  </si>
  <si>
    <t>CUST0032</t>
  </si>
  <si>
    <t>ORD00603</t>
  </si>
  <si>
    <t>CUST0046</t>
  </si>
  <si>
    <t>ORD00027</t>
  </si>
  <si>
    <t>CUST0037</t>
  </si>
  <si>
    <t>ORD00297</t>
  </si>
  <si>
    <t>CUST0017</t>
  </si>
  <si>
    <t>File Organizer</t>
  </si>
  <si>
    <t>ORD00114</t>
  </si>
  <si>
    <t>ORD00175</t>
  </si>
  <si>
    <t>CUST0130</t>
  </si>
  <si>
    <t>ORD01199</t>
  </si>
  <si>
    <t>CUST0153</t>
  </si>
  <si>
    <t>ORD00682</t>
  </si>
  <si>
    <t>CUST0273</t>
  </si>
  <si>
    <t>ORD01032</t>
  </si>
  <si>
    <t>CUST0084</t>
  </si>
  <si>
    <t>ORD00055</t>
  </si>
  <si>
    <t>CUST0145</t>
  </si>
  <si>
    <t>ORD00157</t>
  </si>
  <si>
    <t>CUST0119</t>
  </si>
  <si>
    <t>ORD00142</t>
  </si>
  <si>
    <t>CUST0111</t>
  </si>
  <si>
    <t>ORD00686</t>
  </si>
  <si>
    <t>CUST0065</t>
  </si>
  <si>
    <t>ORD00766</t>
  </si>
  <si>
    <t>CUST0172</t>
  </si>
  <si>
    <t>ORD00123</t>
  </si>
  <si>
    <t>ORD01033</t>
  </si>
  <si>
    <t>CUST0077</t>
  </si>
  <si>
    <t>ORD01048</t>
  </si>
  <si>
    <t>CUST0036</t>
  </si>
  <si>
    <t>ORD00492</t>
  </si>
  <si>
    <t>CUST0137</t>
  </si>
  <si>
    <t>Printer Paper</t>
  </si>
  <si>
    <t>ORD00039</t>
  </si>
  <si>
    <t>CUST0004</t>
  </si>
  <si>
    <t>ORD01054</t>
  </si>
  <si>
    <t>ORD00501</t>
  </si>
  <si>
    <t>CUST0026</t>
  </si>
  <si>
    <t>ORD00471</t>
  </si>
  <si>
    <t>CUST0185</t>
  </si>
  <si>
    <t>ORD00172</t>
  </si>
  <si>
    <t>CUST0042</t>
  </si>
  <si>
    <t>ORD00139</t>
  </si>
  <si>
    <t>CUST0160</t>
  </si>
  <si>
    <t>ORD00688</t>
  </si>
  <si>
    <t>CUST0268</t>
  </si>
  <si>
    <t>ORD00671</t>
  </si>
  <si>
    <t>CUST0262</t>
  </si>
  <si>
    <t>ORD00295</t>
  </si>
  <si>
    <t>CUST0045</t>
  </si>
  <si>
    <t>Water Bottle</t>
  </si>
  <si>
    <t>ORD00144</t>
  </si>
  <si>
    <t>CUST0183</t>
  </si>
  <si>
    <t>ORD00561</t>
  </si>
  <si>
    <t>CUST0058</t>
  </si>
  <si>
    <t>ORD00494</t>
  </si>
  <si>
    <t>CUST0117</t>
  </si>
  <si>
    <t>ORD00388</t>
  </si>
  <si>
    <t>CUST0038</t>
  </si>
  <si>
    <t>ORD00762</t>
  </si>
  <si>
    <t>CUST0109</t>
  </si>
  <si>
    <t>ORD00206</t>
  </si>
  <si>
    <t>CUST0020</t>
  </si>
  <si>
    <t>ORD01099</t>
  </si>
  <si>
    <t>CUST0041</t>
  </si>
  <si>
    <t>ORD00554</t>
  </si>
  <si>
    <t>CUST0140</t>
  </si>
  <si>
    <t>ORD00189</t>
  </si>
  <si>
    <t>CUST0138</t>
  </si>
  <si>
    <t>ORD00544</t>
  </si>
  <si>
    <t>CUST0257</t>
  </si>
  <si>
    <t>ORD00918</t>
  </si>
  <si>
    <t>CUST0270</t>
  </si>
  <si>
    <t>ORD00012</t>
  </si>
  <si>
    <t>CUST0231</t>
  </si>
  <si>
    <t>ORD01078</t>
  </si>
  <si>
    <t>CUST0255</t>
  </si>
  <si>
    <t>ORD00466</t>
  </si>
  <si>
    <t>ORD00984</t>
  </si>
  <si>
    <t>CUST0165</t>
  </si>
  <si>
    <t>ORD00040</t>
  </si>
  <si>
    <t>CUST0033</t>
  </si>
  <si>
    <t>ORD00484</t>
  </si>
  <si>
    <t>ORD00354</t>
  </si>
  <si>
    <t>CUST0171</t>
  </si>
  <si>
    <t>ORD00541</t>
  </si>
  <si>
    <t>CUST0053</t>
  </si>
  <si>
    <t>ORD01174</t>
  </si>
  <si>
    <t>ORD00584</t>
  </si>
  <si>
    <t>ORD00343</t>
  </si>
  <si>
    <t>CUST0088</t>
  </si>
  <si>
    <t>ORD00029</t>
  </si>
  <si>
    <t>CUST0127</t>
  </si>
  <si>
    <t>ORD01057</t>
  </si>
  <si>
    <t>ORD00478</t>
  </si>
  <si>
    <t>CUST0232</t>
  </si>
  <si>
    <t>ORD01098</t>
  </si>
  <si>
    <t>CUST0239</t>
  </si>
  <si>
    <t>ORD01167</t>
  </si>
  <si>
    <t>CUST0081</t>
  </si>
  <si>
    <t>ORD00418</t>
  </si>
  <si>
    <t>ORD00453</t>
  </si>
  <si>
    <t>CUST0161</t>
  </si>
  <si>
    <t>ORD00805</t>
  </si>
  <si>
    <t>CUST0068</t>
  </si>
  <si>
    <t>ORD00875</t>
  </si>
  <si>
    <t>CUST0282</t>
  </si>
  <si>
    <t>ORD00594</t>
  </si>
  <si>
    <t>CUST0181</t>
  </si>
  <si>
    <t>ORD00728</t>
  </si>
  <si>
    <t>CUST0150</t>
  </si>
  <si>
    <t>ORD01109</t>
  </si>
  <si>
    <t>CUST0108</t>
  </si>
  <si>
    <t>ORD01028</t>
  </si>
  <si>
    <t>ORD00783</t>
  </si>
  <si>
    <t>CUST0079</t>
  </si>
  <si>
    <t>ORD00286</t>
  </si>
  <si>
    <t>CUST0021</t>
  </si>
  <si>
    <t>ORD01129</t>
  </si>
  <si>
    <t>CUST0280</t>
  </si>
  <si>
    <t>ORD00718</t>
  </si>
  <si>
    <t>CUST0051</t>
  </si>
  <si>
    <t>ORD00921</t>
  </si>
  <si>
    <t>ORD00615</t>
  </si>
  <si>
    <t>CUST0216</t>
  </si>
  <si>
    <t>ORD00847</t>
  </si>
  <si>
    <t>ORD00630</t>
  </si>
  <si>
    <t>CUST0047</t>
  </si>
  <si>
    <t>ORD00355</t>
  </si>
  <si>
    <t>CUST0120</t>
  </si>
  <si>
    <t>ORD00576</t>
  </si>
  <si>
    <t>CUST0277</t>
  </si>
  <si>
    <t>ORD00275</t>
  </si>
  <si>
    <t>CUST0194</t>
  </si>
  <si>
    <t>ORD00428</t>
  </si>
  <si>
    <t>CUST0064</t>
  </si>
  <si>
    <t>ORD00488</t>
  </si>
  <si>
    <t>CUST0225</t>
  </si>
  <si>
    <t>ORD01023</t>
  </si>
  <si>
    <t>ORD00132</t>
  </si>
  <si>
    <t>CUST0288</t>
  </si>
  <si>
    <t>ORD00710</t>
  </si>
  <si>
    <t>ORD00417</t>
  </si>
  <si>
    <t>CUST0044</t>
  </si>
  <si>
    <t>ORD00279</t>
  </si>
  <si>
    <t>CUST0281</t>
  </si>
  <si>
    <t>ORD00959</t>
  </si>
  <si>
    <t>CUST0116</t>
  </si>
  <si>
    <t>ORD00290</t>
  </si>
  <si>
    <t>CUST0049</t>
  </si>
  <si>
    <t>ORD01115</t>
  </si>
  <si>
    <t>ORD01082</t>
  </si>
  <si>
    <t>CUST0015</t>
  </si>
  <si>
    <t>ORD00806</t>
  </si>
  <si>
    <t>CUST0129</t>
  </si>
  <si>
    <t>ORD00963</t>
  </si>
  <si>
    <t>ORD01195</t>
  </si>
  <si>
    <t>CUST0193</t>
  </si>
  <si>
    <t>ORD00828</t>
  </si>
  <si>
    <t>CUST0242</t>
  </si>
  <si>
    <t>ORD00941</t>
  </si>
  <si>
    <t>CUST0031</t>
  </si>
  <si>
    <t>ORD01085</t>
  </si>
  <si>
    <t>ORD00967</t>
  </si>
  <si>
    <t>CUST0254</t>
  </si>
  <si>
    <t>ORD00467</t>
  </si>
  <si>
    <t>CUST0087</t>
  </si>
  <si>
    <t>ORD00204</t>
  </si>
  <si>
    <t>CUST0003</t>
  </si>
  <si>
    <t>ORD00442</t>
  </si>
  <si>
    <t>ORD00263</t>
  </si>
  <si>
    <t>CUST0285</t>
  </si>
  <si>
    <t>ORD01148</t>
  </si>
  <si>
    <t>ORD00230</t>
  </si>
  <si>
    <t>CUST0260</t>
  </si>
  <si>
    <t>ORD00067</t>
  </si>
  <si>
    <t>CUST0048</t>
  </si>
  <si>
    <t>ORD01185</t>
  </si>
  <si>
    <t>ORD00146</t>
  </si>
  <si>
    <t>ORD00239</t>
  </si>
  <si>
    <t>CUST0083</t>
  </si>
  <si>
    <t>ORD00011</t>
  </si>
  <si>
    <t>ORD00526</t>
  </si>
  <si>
    <t>CUST0105</t>
  </si>
  <si>
    <t>ORD00174</t>
  </si>
  <si>
    <t>ORD00525</t>
  </si>
  <si>
    <t>CUST0154</t>
  </si>
  <si>
    <t>ORD00925</t>
  </si>
  <si>
    <t>CUST0143</t>
  </si>
  <si>
    <t>ORD01086</t>
  </si>
  <si>
    <t>ORD00436</t>
  </si>
  <si>
    <t>CUST0075</t>
  </si>
  <si>
    <t>ORD00748</t>
  </si>
  <si>
    <t>ORD00084</t>
  </si>
  <si>
    <t>CUST0118</t>
  </si>
  <si>
    <t>ORD00197</t>
  </si>
  <si>
    <t>CUST0078</t>
  </si>
  <si>
    <t>ORD00402</t>
  </si>
  <si>
    <t>ORD00815</t>
  </si>
  <si>
    <t>CUST0082</t>
  </si>
  <si>
    <t>ORD00720</t>
  </si>
  <si>
    <t>CUST0253</t>
  </si>
  <si>
    <t>ORD00924</t>
  </si>
  <si>
    <t>ORD00679</t>
  </si>
  <si>
    <t>CUST0206</t>
  </si>
  <si>
    <t>ORD00201</t>
  </si>
  <si>
    <t>CUST0151</t>
  </si>
  <si>
    <t>ORD00256</t>
  </si>
  <si>
    <t>ORD00338</t>
  </si>
  <si>
    <t>CUST0290</t>
  </si>
  <si>
    <t>ORD00021</t>
  </si>
  <si>
    <t>CUST0144</t>
  </si>
  <si>
    <t>ORD01155</t>
  </si>
  <si>
    <t>ORD00907</t>
  </si>
  <si>
    <t>ORD00010</t>
  </si>
  <si>
    <t>CUST0214</t>
  </si>
  <si>
    <t>ORD00255</t>
  </si>
  <si>
    <t>CUST0201</t>
  </si>
  <si>
    <t>ORD00674</t>
  </si>
  <si>
    <t>CUST0100</t>
  </si>
  <si>
    <t>ORD00727</t>
  </si>
  <si>
    <t>CUST0091</t>
  </si>
  <si>
    <t>ORD00995</t>
  </si>
  <si>
    <t>ORD00613</t>
  </si>
  <si>
    <t>ORD00579</t>
  </si>
  <si>
    <t>CUST0246</t>
  </si>
  <si>
    <t>ORD00377</t>
  </si>
  <si>
    <t>CUST0230</t>
  </si>
  <si>
    <t>ORD01059</t>
  </si>
  <si>
    <t>ORD00673</t>
  </si>
  <si>
    <t>CUST0093</t>
  </si>
  <si>
    <t>ORD00549</t>
  </si>
  <si>
    <t>CUST0248</t>
  </si>
  <si>
    <t>ORD00435</t>
  </si>
  <si>
    <t>ORD00252</t>
  </si>
  <si>
    <t>CUST0090</t>
  </si>
  <si>
    <t>ORD00912</t>
  </si>
  <si>
    <t>CUST0196</t>
  </si>
  <si>
    <t>ORD00608</t>
  </si>
  <si>
    <t>CUST0217</t>
  </si>
  <si>
    <t>ORD01119</t>
  </si>
  <si>
    <t>ORD00361</t>
  </si>
  <si>
    <t>CUST0211</t>
  </si>
  <si>
    <t>ORD01022</t>
  </si>
  <si>
    <t>CUST0269</t>
  </si>
  <si>
    <t>ORD00946</t>
  </si>
  <si>
    <t>CUST0287</t>
  </si>
  <si>
    <t>ORD01008</t>
  </si>
  <si>
    <t>ORD00760</t>
  </si>
  <si>
    <t>ORD00244</t>
  </si>
  <si>
    <t>CUST0035</t>
  </si>
  <si>
    <t>ORD00639</t>
  </si>
  <si>
    <t>ORD00203</t>
  </si>
  <si>
    <t>CUST0023</t>
  </si>
  <si>
    <t>ORD00482</t>
  </si>
  <si>
    <t>CUST0028</t>
  </si>
  <si>
    <t>ORD00097</t>
  </si>
  <si>
    <t>ORD00590</t>
  </si>
  <si>
    <t>CUST0052</t>
  </si>
  <si>
    <t>ORD00979</t>
  </si>
  <si>
    <t>CUST0263</t>
  </si>
  <si>
    <t>ORD00060</t>
  </si>
  <si>
    <t>ORD01102</t>
  </si>
  <si>
    <t>ORD00770</t>
  </si>
  <si>
    <t>CUST0070</t>
  </si>
  <si>
    <t>ORD01043</t>
  </si>
  <si>
    <t>CUST0062</t>
  </si>
  <si>
    <t>ORD01117</t>
  </si>
  <si>
    <t>CUST0286</t>
  </si>
  <si>
    <t>ORD00281</t>
  </si>
  <si>
    <t>ORD01200</t>
  </si>
  <si>
    <t>ORD01017</t>
  </si>
  <si>
    <t>CUST0043</t>
  </si>
  <si>
    <t>ORD01024</t>
  </si>
  <si>
    <t>CUST0191</t>
  </si>
  <si>
    <t>ORD01039</t>
  </si>
  <si>
    <t>ORD00991</t>
  </si>
  <si>
    <t>ORD00990</t>
  </si>
  <si>
    <t>ORD00285</t>
  </si>
  <si>
    <t>CUST0175</t>
  </si>
  <si>
    <t>ORD00520</t>
  </si>
  <si>
    <t>CUST0179</t>
  </si>
  <si>
    <t>ORD00788</t>
  </si>
  <si>
    <t>CUST0293</t>
  </si>
  <si>
    <t>ORD01179</t>
  </si>
  <si>
    <t>ORD00774</t>
  </si>
  <si>
    <t>CUST0265</t>
  </si>
  <si>
    <t>ORD00223</t>
  </si>
  <si>
    <t>CUST0059</t>
  </si>
  <si>
    <t>ORD01065</t>
  </si>
  <si>
    <t>ORD01150</t>
  </si>
  <si>
    <t>ORD00524</t>
  </si>
  <si>
    <t>CUST0097</t>
  </si>
  <si>
    <t>ORD00298</t>
  </si>
  <si>
    <t>ORD00328</t>
  </si>
  <si>
    <t>CUST0141</t>
  </si>
  <si>
    <t>ORD00155</t>
  </si>
  <si>
    <t>ORD00711</t>
  </si>
  <si>
    <t>ORD00977</t>
  </si>
  <si>
    <t>CUST0102</t>
  </si>
  <si>
    <t>ORD00068</t>
  </si>
  <si>
    <t>ORD00816</t>
  </si>
  <si>
    <t>ORD00627</t>
  </si>
  <si>
    <t>ORD01044</t>
  </si>
  <si>
    <t>CUST0163</t>
  </si>
  <si>
    <t>ORD00694</t>
  </si>
  <si>
    <t>CUST0238</t>
  </si>
  <si>
    <t>ORD01194</t>
  </si>
  <si>
    <t>ORD00970</t>
  </si>
  <si>
    <t>ORD00505</t>
  </si>
  <si>
    <t>CUST0099</t>
  </si>
  <si>
    <t>ORD00082</t>
  </si>
  <si>
    <t>CUST0134</t>
  </si>
  <si>
    <t>ORD00363</t>
  </si>
  <si>
    <t>CUST0008</t>
  </si>
  <si>
    <t>ORD00552</t>
  </si>
  <si>
    <t>ORD00827</t>
  </si>
  <si>
    <t>CUST0210</t>
  </si>
  <si>
    <t>ORD01153</t>
  </si>
  <si>
    <t>ORD01111</t>
  </si>
  <si>
    <t>CUST0202</t>
  </si>
  <si>
    <t>ORD00559</t>
  </si>
  <si>
    <t>ORD01141</t>
  </si>
  <si>
    <t>CUST0203</t>
  </si>
  <si>
    <t>ORD00284</t>
  </si>
  <si>
    <t>CUST0112</t>
  </si>
  <si>
    <t>ORD00151</t>
  </si>
  <si>
    <t>CUST0195</t>
  </si>
  <si>
    <t>ORD01181</t>
  </si>
  <si>
    <t>CUST0275</t>
  </si>
  <si>
    <t>ORD00604</t>
  </si>
  <si>
    <t>ORD00876</t>
  </si>
  <si>
    <t>ORD00148</t>
  </si>
  <si>
    <t>ORD00834</t>
  </si>
  <si>
    <t>CUST0296</t>
  </si>
  <si>
    <t>ORD00083</t>
  </si>
  <si>
    <t>CUST0157</t>
  </si>
  <si>
    <t>ORD00813</t>
  </si>
  <si>
    <t>ORD00768</t>
  </si>
  <si>
    <t>ORD01080</t>
  </si>
  <si>
    <t>CUST0212</t>
  </si>
  <si>
    <t>ORD00037</t>
  </si>
  <si>
    <t>ORD00171</t>
  </si>
  <si>
    <t>ORD00303</t>
  </si>
  <si>
    <t>CUST0089</t>
  </si>
  <si>
    <t>ORD00550</t>
  </si>
  <si>
    <t>CUST0298</t>
  </si>
  <si>
    <t>ORD00699</t>
  </si>
  <si>
    <t>CUST0276</t>
  </si>
  <si>
    <t>ORD00885</t>
  </si>
  <si>
    <t>CUST0054</t>
  </si>
  <si>
    <t>ORD00514</t>
  </si>
  <si>
    <t>CUST0295</t>
  </si>
  <si>
    <t>ORD00433</t>
  </si>
  <si>
    <t>ORD00632</t>
  </si>
  <si>
    <t>ORD00893</t>
  </si>
  <si>
    <t>CUST0227</t>
  </si>
  <si>
    <t>ORD01182</t>
  </si>
  <si>
    <t>ORD01010</t>
  </si>
  <si>
    <t>CUST0294</t>
  </si>
  <si>
    <t>ORD00352</t>
  </si>
  <si>
    <t>ORD00903</t>
  </si>
  <si>
    <t>ORD00392</t>
  </si>
  <si>
    <t>CUST0190</t>
  </si>
  <si>
    <t>ORD00160</t>
  </si>
  <si>
    <t>ORD00942</t>
  </si>
  <si>
    <t>ORD00215</t>
  </si>
  <si>
    <t>CUST0297</t>
  </si>
  <si>
    <t>ORD01035</t>
  </si>
  <si>
    <t>ORD00262</t>
  </si>
  <si>
    <t>ORD00043</t>
  </si>
  <si>
    <t>ORD00207</t>
  </si>
  <si>
    <t>ORD01081</t>
  </si>
  <si>
    <t>ORD00648</t>
  </si>
  <si>
    <t>ORD01069</t>
  </si>
  <si>
    <t>ORD00264</t>
  </si>
  <si>
    <t>CUST0162</t>
  </si>
  <si>
    <t>ORD00390</t>
  </si>
  <si>
    <t>ORD01116</t>
  </si>
  <si>
    <t>ORD00069</t>
  </si>
  <si>
    <t>CUST0274</t>
  </si>
  <si>
    <t>ORD00777</t>
  </si>
  <si>
    <t>CUST0073</t>
  </si>
  <si>
    <t>ORD00562</t>
  </si>
  <si>
    <t>ORD00213</t>
  </si>
  <si>
    <t>CUST0113</t>
  </si>
  <si>
    <t>ORD01120</t>
  </si>
  <si>
    <t>ORD00431</t>
  </si>
  <si>
    <t>ORD01196</t>
  </si>
  <si>
    <t>CUST0220</t>
  </si>
  <si>
    <t>ORD01178</t>
  </si>
  <si>
    <t>ORD00957</t>
  </si>
  <si>
    <t>CUST0024</t>
  </si>
  <si>
    <t>ORD00053</t>
  </si>
  <si>
    <t>ORD00620</t>
  </si>
  <si>
    <t>ORD00140</t>
  </si>
  <si>
    <t>ORD00709</t>
  </si>
  <si>
    <t>CUST0061</t>
  </si>
  <si>
    <t>ORD00006</t>
  </si>
  <si>
    <t>ORD00832</t>
  </si>
  <si>
    <t>ORD01090</t>
  </si>
  <si>
    <t>ORD00894</t>
  </si>
  <si>
    <t>CUST0291</t>
  </si>
  <si>
    <t>ORD00306</t>
  </si>
  <si>
    <t>ORD00220</t>
  </si>
  <si>
    <t>ORD01103</t>
  </si>
  <si>
    <t>CUST0243</t>
  </si>
  <si>
    <t>ORD00334</t>
  </si>
  <si>
    <t>ORD00518</t>
  </si>
  <si>
    <t>ORD00329</t>
  </si>
  <si>
    <t>ORD01158</t>
  </si>
  <si>
    <t>ORD00605</t>
  </si>
  <si>
    <t>ORD00045</t>
  </si>
  <si>
    <t>ORD00836</t>
  </si>
  <si>
    <t>ORD00850</t>
  </si>
  <si>
    <t>ORD00472</t>
  </si>
  <si>
    <t>ORD01142</t>
  </si>
  <si>
    <t>CUST0180</t>
  </si>
  <si>
    <t>ORD00818</t>
  </si>
  <si>
    <t>CUST0233</t>
  </si>
  <si>
    <t>ORD01040</t>
  </si>
  <si>
    <t>CUST0040</t>
  </si>
  <si>
    <t>ORD00475</t>
  </si>
  <si>
    <t>ORD00669</t>
  </si>
  <si>
    <t>CUST0101</t>
  </si>
  <si>
    <t>ORD00371</t>
  </si>
  <si>
    <t>ORD01074</t>
  </si>
  <si>
    <t>ORD00724</t>
  </si>
  <si>
    <t>ORD01056</t>
  </si>
  <si>
    <t>ORD00869</t>
  </si>
  <si>
    <t>ORD00765</t>
  </si>
  <si>
    <t>CUST0279</t>
  </si>
  <si>
    <t>ORD00497</t>
  </si>
  <si>
    <t>ORD00744</t>
  </si>
  <si>
    <t>CUST0128</t>
  </si>
  <si>
    <t>ORD00840</t>
  </si>
  <si>
    <t>ORD00468</t>
  </si>
  <si>
    <t>ORD01012</t>
  </si>
  <si>
    <t>ORD00370</t>
  </si>
  <si>
    <t>ORD00858</t>
  </si>
  <si>
    <t>CUST0235</t>
  </si>
  <si>
    <t>ORD01125</t>
  </si>
  <si>
    <t>CUST0115</t>
  </si>
  <si>
    <t>ORD00032</t>
  </si>
  <si>
    <t>ORD00573</t>
  </si>
  <si>
    <t>ORD00864</t>
  </si>
  <si>
    <t>CUST0158</t>
  </si>
  <si>
    <t>ORD00543</t>
  </si>
  <si>
    <t>CUST0014</t>
  </si>
  <si>
    <t>ORD01186</t>
  </si>
  <si>
    <t>ORD00038</t>
  </si>
  <si>
    <t>CUST0250</t>
  </si>
  <si>
    <t>ORD00309</t>
  </si>
  <si>
    <t>ORD00867</t>
  </si>
  <si>
    <t>CUST0249</t>
  </si>
  <si>
    <t>ORD00381</t>
  </si>
  <si>
    <t>CUST0011</t>
  </si>
  <si>
    <t>ORD00968</t>
  </si>
  <si>
    <t>CUST0272</t>
  </si>
  <si>
    <t>ORD00837</t>
  </si>
  <si>
    <t>CUST0218</t>
  </si>
  <si>
    <t>ORD00044</t>
  </si>
  <si>
    <t>ORD01011</t>
  </si>
  <si>
    <t>CUST0146</t>
  </si>
  <si>
    <t>ORD00697</t>
  </si>
  <si>
    <t>ORD00368</t>
  </si>
  <si>
    <t>ORD00776</t>
  </si>
  <si>
    <t>ORD00747</t>
  </si>
  <si>
    <t>ORD00404</t>
  </si>
  <si>
    <t>CUST0142</t>
  </si>
  <si>
    <t>ORD00568</t>
  </si>
  <si>
    <t>ORD00564</t>
  </si>
  <si>
    <t>ORD00382</t>
  </si>
  <si>
    <t>ORD00909</t>
  </si>
  <si>
    <t>CUST0177</t>
  </si>
  <si>
    <t>ORD01139</t>
  </si>
  <si>
    <t>ORD00519</t>
  </si>
  <si>
    <t>CUST0278</t>
  </si>
  <si>
    <t>ORD00267</t>
  </si>
  <si>
    <t>ORD01107</t>
  </si>
  <si>
    <t>ORD00023</t>
  </si>
  <si>
    <t>CUST0104</t>
  </si>
  <si>
    <t>ORD00882</t>
  </si>
  <si>
    <t>ORD00017</t>
  </si>
  <si>
    <t>CUST0126</t>
  </si>
  <si>
    <t>ORD00530</t>
  </si>
  <si>
    <t>ORD00231</t>
  </si>
  <si>
    <t>CUST0133</t>
  </si>
  <si>
    <t>ORD00161</t>
  </si>
  <si>
    <t>ORD00109</t>
  </si>
  <si>
    <t>CUST0012</t>
  </si>
  <si>
    <t>ORD00413</t>
  </si>
  <si>
    <t>ORD00001</t>
  </si>
  <si>
    <t>ORD00253</t>
  </si>
  <si>
    <t>ORD00771</t>
  </si>
  <si>
    <t>ORD00369</t>
  </si>
  <si>
    <t>ORD00556</t>
  </si>
  <si>
    <t>ORD00364</t>
  </si>
  <si>
    <t>ORD01073</t>
  </si>
  <si>
    <t>ORD00205</t>
  </si>
  <si>
    <t>ORD00198</t>
  </si>
  <si>
    <t>ORD00929</t>
  </si>
  <si>
    <t>ORD01007</t>
  </si>
  <si>
    <t>CUST0121</t>
  </si>
  <si>
    <t>ORD00851</t>
  </si>
  <si>
    <t>CUST0164</t>
  </si>
  <si>
    <t>ORD01163</t>
  </si>
  <si>
    <t>ORD01171</t>
  </si>
  <si>
    <t>ORD00637</t>
  </si>
  <si>
    <t>CUST0018</t>
  </si>
  <si>
    <t>ORD00516</t>
  </si>
  <si>
    <t>CUST0009</t>
  </si>
  <si>
    <t>ORD01061</t>
  </si>
  <si>
    <t>CUST0209</t>
  </si>
  <si>
    <t>ORD00936</t>
  </si>
  <si>
    <t>ORD00533</t>
  </si>
  <si>
    <t>ORD00165</t>
  </si>
  <si>
    <t>ORD00542</t>
  </si>
  <si>
    <t>CUST0271</t>
  </si>
  <si>
    <t>ORD00666</t>
  </si>
  <si>
    <t>ORD00305</t>
  </si>
  <si>
    <t>CUST0039</t>
  </si>
  <si>
    <t>ORD00803</t>
  </si>
  <si>
    <t>ORD00350</t>
  </si>
  <si>
    <t>ORD00538</t>
  </si>
  <si>
    <t>CUST0066</t>
  </si>
  <si>
    <t>ORD00423</t>
  </si>
  <si>
    <t>CUST0006</t>
  </si>
  <si>
    <t>ORD01001</t>
  </si>
  <si>
    <t>ORD00313</t>
  </si>
  <si>
    <t>ORD01041</t>
  </si>
  <si>
    <t>CUST0107</t>
  </si>
  <si>
    <t>ORD00583</t>
  </si>
  <si>
    <t>ORD00553</t>
  </si>
  <si>
    <t>ORD00240</t>
  </si>
  <si>
    <t>ORD00784</t>
  </si>
  <si>
    <t>ORD00833</t>
  </si>
  <si>
    <t>CUST0131</t>
  </si>
  <si>
    <t>ORD00446</t>
  </si>
  <si>
    <t>ORD01018</t>
  </si>
  <si>
    <t>CUST0007</t>
  </si>
  <si>
    <t>ORD00243</t>
  </si>
  <si>
    <t>ORD00347</t>
  </si>
  <si>
    <t>ORD01013</t>
  </si>
  <si>
    <t>CUST0110</t>
  </si>
  <si>
    <t>ORD00949</t>
  </si>
  <si>
    <t>CUST0067</t>
  </si>
  <si>
    <t>ORD00500</t>
  </si>
  <si>
    <t>CUST0155</t>
  </si>
  <si>
    <t>ORD00938</t>
  </si>
  <si>
    <t>CUST0199</t>
  </si>
  <si>
    <t>ORD00481</t>
  </si>
  <si>
    <t>ORD00072</t>
  </si>
  <si>
    <t>CUST0229</t>
  </si>
  <si>
    <t>ORD00424</t>
  </si>
  <si>
    <t>ORD01157</t>
  </si>
  <si>
    <t>ORD00980</t>
  </si>
  <si>
    <t>ORD00106</t>
  </si>
  <si>
    <t>ORD00814</t>
  </si>
  <si>
    <t>ORD01144</t>
  </si>
  <si>
    <t>ORD00327</t>
  </si>
  <si>
    <t>ORD00877</t>
  </si>
  <si>
    <t>ORD00854</t>
  </si>
  <si>
    <t>ORD00238</t>
  </si>
  <si>
    <t>ORD00798</t>
  </si>
  <si>
    <t>CUST0173</t>
  </si>
  <si>
    <t>ORD00502</t>
  </si>
  <si>
    <t>ORD00086</t>
  </si>
  <si>
    <t>ORD01005</t>
  </si>
  <si>
    <t>ORD00528</t>
  </si>
  <si>
    <t>CUST0187</t>
  </si>
  <si>
    <t>ORD01192</t>
  </si>
  <si>
    <t>ORD00506</t>
  </si>
  <si>
    <t>CUST0050</t>
  </si>
  <si>
    <t>ORD00141</t>
  </si>
  <si>
    <t>CUST0123</t>
  </si>
  <si>
    <t>ORD00460</t>
  </si>
  <si>
    <t>ORD00075</t>
  </si>
  <si>
    <t>ORD00291</t>
  </si>
  <si>
    <t>ORD00152</t>
  </si>
  <si>
    <t>CUST0284</t>
  </si>
  <si>
    <t>ORD00209</t>
  </si>
  <si>
    <t>ORD01060</t>
  </si>
  <si>
    <t>ORD00391</t>
  </si>
  <si>
    <t>CUST0247</t>
  </si>
  <si>
    <t>ORD00988</t>
  </si>
  <si>
    <t>CUST0069</t>
  </si>
  <si>
    <t>ORD00888</t>
  </si>
  <si>
    <t>ORD00626</t>
  </si>
  <si>
    <t>CUST0114</t>
  </si>
  <si>
    <t>ORD01124</t>
  </si>
  <si>
    <t>CUST0124</t>
  </si>
  <si>
    <t>ORD00153</t>
  </si>
  <si>
    <t>ORD01091</t>
  </si>
  <si>
    <t>ORD00989</t>
  </si>
  <si>
    <t>CUST0136</t>
  </si>
  <si>
    <t>ORD00651</t>
  </si>
  <si>
    <t>ORD00662</t>
  </si>
  <si>
    <t>ORD00015</t>
  </si>
  <si>
    <t>CUST0152</t>
  </si>
  <si>
    <t>ORD01133</t>
  </si>
  <si>
    <t>ORD00066</t>
  </si>
  <si>
    <t>ORD00588</t>
  </si>
  <si>
    <t>ORD00049</t>
  </si>
  <si>
    <t>ORD00036</t>
  </si>
  <si>
    <t>CUST0192</t>
  </si>
  <si>
    <t>ORD00779</t>
  </si>
  <si>
    <t>ORD00105</t>
  </si>
  <si>
    <t>ORD00780</t>
  </si>
  <si>
    <t>ORD00560</t>
  </si>
  <si>
    <t>ORD00778</t>
  </si>
  <si>
    <t>CUST0219</t>
  </si>
  <si>
    <t>ORD00667</t>
  </si>
  <si>
    <t>ORD00871</t>
  </si>
  <si>
    <t>ORD00173</t>
  </si>
  <si>
    <t>ORD00899</t>
  </si>
  <si>
    <t>ORD00629</t>
  </si>
  <si>
    <t>ORD01020</t>
  </si>
  <si>
    <t>ORD00706</t>
  </si>
  <si>
    <t>CUST0228</t>
  </si>
  <si>
    <t>ORD00447</t>
  </si>
  <si>
    <t>ORD00340</t>
  </si>
  <si>
    <t>CUST0264</t>
  </si>
  <si>
    <t>ORD00103</t>
  </si>
  <si>
    <t>CUST0027</t>
  </si>
  <si>
    <t>ORD01006</t>
  </si>
  <si>
    <t>CUST0056</t>
  </si>
  <si>
    <t>ORD00916</t>
  </si>
  <si>
    <t>ORD00379</t>
  </si>
  <si>
    <t>ORD00582</t>
  </si>
  <si>
    <t>CUST0213</t>
  </si>
  <si>
    <t>ORD00887</t>
  </si>
  <si>
    <t>ORD00133</t>
  </si>
  <si>
    <t>ORD00598</t>
  </si>
  <si>
    <t>ORD00193</t>
  </si>
  <si>
    <t>ORD00631</t>
  </si>
  <si>
    <t>ORD00078</t>
  </si>
  <si>
    <t>ORD00018</t>
  </si>
  <si>
    <t>ORD00496</t>
  </si>
  <si>
    <t>CUST0223</t>
  </si>
  <si>
    <t>ORD00529</t>
  </si>
  <si>
    <t>ORD00454</t>
  </si>
  <si>
    <t>ORD00642</t>
  </si>
  <si>
    <t>ORD00337</t>
  </si>
  <si>
    <t>CUST0168</t>
  </si>
  <si>
    <t>ORD01180</t>
  </si>
  <si>
    <t>ORD01014</t>
  </si>
  <si>
    <t>ORD00081</t>
  </si>
  <si>
    <t>ORD00619</t>
  </si>
  <si>
    <t>ORD01193</t>
  </si>
  <si>
    <t>ORD00485</t>
  </si>
  <si>
    <t>CUST0103</t>
  </si>
  <si>
    <t>ORD00591</t>
  </si>
  <si>
    <t>CUST0259</t>
  </si>
  <si>
    <t>ORD00182</t>
  </si>
  <si>
    <t>ORD00826</t>
  </si>
  <si>
    <t>ORD01105</t>
  </si>
  <si>
    <t>ORD01135</t>
  </si>
  <si>
    <t>CUST0019</t>
  </si>
  <si>
    <t>ORD00800</t>
  </si>
  <si>
    <t>ORD00664</t>
  </si>
  <si>
    <t>CUST0267</t>
  </si>
  <si>
    <t>ORD00870</t>
  </si>
  <si>
    <t>ORD00224</t>
  </si>
  <si>
    <t>ORD00722</t>
  </si>
  <si>
    <t>ORD00384</t>
  </si>
  <si>
    <t>ORD01172</t>
  </si>
  <si>
    <t>ORD00077</t>
  </si>
  <si>
    <t>ORD00196</t>
  </si>
  <si>
    <t>ORD00401</t>
  </si>
  <si>
    <t>ORD01070</t>
  </si>
  <si>
    <t>ORD00185</t>
  </si>
  <si>
    <t>CUST0005</t>
  </si>
  <si>
    <t>ORD00960</t>
  </si>
  <si>
    <t>ORD01042</t>
  </si>
  <si>
    <t>ORD00184</t>
  </si>
  <si>
    <t>CUST0092</t>
  </si>
  <si>
    <t>ORD00242</t>
  </si>
  <si>
    <t>CUST0125</t>
  </si>
  <si>
    <t>ORD01147</t>
  </si>
  <si>
    <t>ORD00917</t>
  </si>
  <si>
    <t>ORD00416</t>
  </si>
  <si>
    <t>ORD00225</t>
  </si>
  <si>
    <t>ORD00754</t>
  </si>
  <si>
    <t>ORD00111</t>
  </si>
  <si>
    <t>ORD00940</t>
  </si>
  <si>
    <t>ORD00624</t>
  </si>
  <si>
    <t>ORD01164</t>
  </si>
  <si>
    <t>ORD00178</t>
  </si>
  <si>
    <t>ORD00746</t>
  </si>
  <si>
    <t>ORD00047</t>
  </si>
  <si>
    <t>ORD00987</t>
  </si>
  <si>
    <t>ORD00729</t>
  </si>
  <si>
    <t>ORD00856</t>
  </si>
  <si>
    <t>ORD00781</t>
  </si>
  <si>
    <t>ORD01084</t>
  </si>
  <si>
    <t>ORD00236</t>
  </si>
  <si>
    <t>ORD00020</t>
  </si>
  <si>
    <t>ORD01166</t>
  </si>
  <si>
    <t>ORD00823</t>
  </si>
  <si>
    <t>CUST0001</t>
  </si>
  <si>
    <t>ORD00448</t>
  </si>
  <si>
    <t>ORD00670</t>
  </si>
  <si>
    <t>ORD00397</t>
  </si>
  <si>
    <t>ORD00961</t>
  </si>
  <si>
    <t>ORD00981</t>
  </si>
  <si>
    <t>ORD00348</t>
  </si>
  <si>
    <t>ORD00758</t>
  </si>
  <si>
    <t>ORD00489</t>
  </si>
  <si>
    <t>ORD00119</t>
  </si>
  <si>
    <t>CUST0226</t>
  </si>
  <si>
    <t>ORD01188</t>
  </si>
  <si>
    <t>ORD00170</t>
  </si>
  <si>
    <t>ORD00902</t>
  </si>
  <si>
    <t>ORD00208</t>
  </si>
  <si>
    <t>ORD00332</t>
  </si>
  <si>
    <t>ORD00997</t>
  </si>
  <si>
    <t>ORD00723</t>
  </si>
  <si>
    <t>CUST0149</t>
  </si>
  <si>
    <t>ORD00799</t>
  </si>
  <si>
    <t>CUST0085</t>
  </si>
  <si>
    <t>ORD00493</t>
  </si>
  <si>
    <t>ORD00922</t>
  </si>
  <si>
    <t>ORD00399</t>
  </si>
  <si>
    <t>CUST0221</t>
  </si>
  <si>
    <t>ORD00593</t>
  </si>
  <si>
    <t>ORD00030</t>
  </si>
  <si>
    <t>CUST0013</t>
  </si>
  <si>
    <t>ORD00128</t>
  </si>
  <si>
    <t>ORD00695</t>
  </si>
  <si>
    <t>ORD01112</t>
  </si>
  <si>
    <t>ORD00101</t>
  </si>
  <si>
    <t>ORD00117</t>
  </si>
  <si>
    <t>ORD00862</t>
  </si>
  <si>
    <t>ORD00801</t>
  </si>
  <si>
    <t>ORD00791</t>
  </si>
  <si>
    <t>ORD00210</t>
  </si>
  <si>
    <t>ORD01004</t>
  </si>
  <si>
    <t>CUST0030</t>
  </si>
  <si>
    <t>ORD00915</t>
  </si>
  <si>
    <t>ORD00025</t>
  </si>
  <si>
    <t>CUST0022</t>
  </si>
  <si>
    <t>ORD00649</t>
  </si>
  <si>
    <t>ORD00714</t>
  </si>
  <si>
    <t>ORD00351</t>
  </si>
  <si>
    <t>ORD00734</t>
  </si>
  <si>
    <t>ORD00319</t>
  </si>
  <si>
    <t>ORD00007</t>
  </si>
  <si>
    <t>CUST0208</t>
  </si>
  <si>
    <t>ORD00217</t>
  </si>
  <si>
    <t>ORD00844</t>
  </si>
  <si>
    <t>ORD01097</t>
  </si>
  <si>
    <t>ORD00438</t>
  </si>
  <si>
    <t>ORD00292</t>
  </si>
  <si>
    <t>ORD00735</t>
  </si>
  <si>
    <t>ORD00445</t>
  </si>
  <si>
    <t>ORD00268</t>
  </si>
  <si>
    <t>ORD00437</t>
  </si>
  <si>
    <t>CUST0159</t>
  </si>
  <si>
    <t>ORD01093</t>
  </si>
  <si>
    <t>ORD00952</t>
  </si>
  <si>
    <t>ORD00890</t>
  </si>
  <si>
    <t>CUST0080</t>
  </si>
  <si>
    <t>ORD00434</t>
  </si>
  <si>
    <t>ORD00891</t>
  </si>
  <si>
    <t>CUST0034</t>
  </si>
  <si>
    <t>ORD01165</t>
  </si>
  <si>
    <t>CUST0169</t>
  </si>
  <si>
    <t>ORD00063</t>
  </si>
  <si>
    <t>ORD00563</t>
  </si>
  <si>
    <t>CUST0215</t>
  </si>
  <si>
    <t>ORD00969</t>
  </si>
  <si>
    <t>ORD00574</t>
  </si>
  <si>
    <t>ORD00696</t>
  </si>
  <si>
    <t>CUST0176</t>
  </si>
  <si>
    <t>ORD00636</t>
  </si>
  <si>
    <t>ORD01026</t>
  </si>
  <si>
    <t>ORD00316</t>
  </si>
  <si>
    <t>ORD00852</t>
  </si>
  <si>
    <t>ORD00317</t>
  </si>
  <si>
    <t>ORD00222</t>
  </si>
  <si>
    <t>ORD00126</t>
  </si>
  <si>
    <t>ORD00033</t>
  </si>
  <si>
    <t>ORD00994</t>
  </si>
  <si>
    <t>ORD00421</t>
  </si>
  <si>
    <t>ORD01067</t>
  </si>
  <si>
    <t>ORD00277</t>
  </si>
  <si>
    <t>ORD00051</t>
  </si>
  <si>
    <t>ORD00308</t>
  </si>
  <si>
    <t>ORD00644</t>
  </si>
  <si>
    <t>ORD00455</t>
  </si>
  <si>
    <t>CUST0200</t>
  </si>
  <si>
    <t>ORD00136</t>
  </si>
  <si>
    <t>ORD01170</t>
  </si>
  <si>
    <t>ORD00534</t>
  </si>
  <si>
    <t>CUST0184</t>
  </si>
  <si>
    <t>ORD00810</t>
  </si>
  <si>
    <t>ORD00789</t>
  </si>
  <si>
    <t>ORD00751</t>
  </si>
  <si>
    <t>CUST0139</t>
  </si>
  <si>
    <t>ORD00759</t>
  </si>
  <si>
    <t>CUST0010</t>
  </si>
  <si>
    <t>ORD00732</t>
  </si>
  <si>
    <t>ORD00092</t>
  </si>
  <si>
    <t>ORD00705</t>
  </si>
  <si>
    <t>ORD01161</t>
  </si>
  <si>
    <t>ORD00221</t>
  </si>
  <si>
    <t>ORD01162</t>
  </si>
  <si>
    <t>ORD00976</t>
  </si>
  <si>
    <t>ORD00341</t>
  </si>
  <si>
    <t>ORD00700</t>
  </si>
  <si>
    <t>ORD00041</t>
  </si>
  <si>
    <t>ORD00483</t>
  </si>
  <si>
    <t>ORD00234</t>
  </si>
  <si>
    <t>ORD01156</t>
  </si>
  <si>
    <t>CUST0258</t>
  </si>
  <si>
    <t>ORD00895</t>
  </si>
  <si>
    <t>CUST0135</t>
  </si>
  <si>
    <t>ORD00387</t>
  </si>
  <si>
    <t>ORD00558</t>
  </si>
  <si>
    <t>CUST0198</t>
  </si>
  <si>
    <t>ORD00199</t>
  </si>
  <si>
    <t>ORD01154</t>
  </si>
  <si>
    <t>ORD00614</t>
  </si>
  <si>
    <t>ORD00098</t>
  </si>
  <si>
    <t>ORD00216</t>
  </si>
  <si>
    <t>ORD00398</t>
  </si>
  <si>
    <t>CUST0072</t>
  </si>
  <si>
    <t>ORD00270</t>
  </si>
  <si>
    <t>ORD00065</t>
  </si>
  <si>
    <t>ORD00886</t>
  </si>
  <si>
    <t>ORD00269</t>
  </si>
  <si>
    <t>ORD00898</t>
  </si>
  <si>
    <t>ORD00596</t>
  </si>
  <si>
    <t>ORD00218</t>
  </si>
  <si>
    <t>ORD00587</t>
  </si>
  <si>
    <t>ORD00657</t>
  </si>
  <si>
    <t>ORD00498</t>
  </si>
  <si>
    <t>ORD00118</t>
  </si>
  <si>
    <t>ORD00342</t>
  </si>
  <si>
    <t>ORD00420</t>
  </si>
  <si>
    <t>ORD00919</t>
  </si>
  <si>
    <t>ORD00812</t>
  </si>
  <si>
    <t>ORD00884</t>
  </si>
  <si>
    <t>ORD00634</t>
  </si>
  <si>
    <t>ORD00191</t>
  </si>
  <si>
    <t>ORD01127</t>
  </si>
  <si>
    <t>ORD00731</t>
  </si>
  <si>
    <t>ORD00312</t>
  </si>
  <si>
    <t>ORD00607</t>
  </si>
  <si>
    <t>ORD00515</t>
  </si>
  <si>
    <t>ORD00841</t>
  </si>
  <si>
    <t>CUST0174</t>
  </si>
  <si>
    <t>ORD00658</t>
  </si>
  <si>
    <t>ORD00093</t>
  </si>
  <si>
    <t>ORD00465</t>
  </si>
  <si>
    <t>ORD00606</t>
  </si>
  <si>
    <t>ORD00676</t>
  </si>
  <si>
    <t>ORD00708</t>
  </si>
  <si>
    <t>ORD00684</t>
  </si>
  <si>
    <t>ORD00187</t>
  </si>
  <si>
    <t>ORD00764</t>
  </si>
  <si>
    <t>ORD00052</t>
  </si>
  <si>
    <t>ORD00951</t>
  </si>
  <si>
    <t>ORD01114</t>
  </si>
  <si>
    <t>ORD00276</t>
  </si>
  <si>
    <t>ORD00130</t>
  </si>
  <si>
    <t>ORD00362</t>
  </si>
  <si>
    <t>ORD00690</t>
  </si>
  <si>
    <t>CUST0292</t>
  </si>
  <si>
    <t>ORD00831</t>
  </si>
  <si>
    <t>ORD01168</t>
  </si>
  <si>
    <t>ORD00376</t>
  </si>
  <si>
    <t>ORD01123</t>
  </si>
  <si>
    <t>ORD00586</t>
  </si>
  <si>
    <t>ORD01047</t>
  </si>
  <si>
    <t>ORD01160</t>
  </si>
  <si>
    <t>ORD00259</t>
  </si>
  <si>
    <t>ORD00646</t>
  </si>
  <si>
    <t>ORD00712</t>
  </si>
  <si>
    <t>ORD00677</t>
  </si>
  <si>
    <t>CUST0189</t>
  </si>
  <si>
    <t>ORD00480</t>
  </si>
  <si>
    <t>ORD00059</t>
  </si>
  <si>
    <t>ORD00740</t>
  </si>
  <si>
    <t>ORD01104</t>
  </si>
  <si>
    <t>ORD00578</t>
  </si>
  <si>
    <t>ORD01184</t>
  </si>
  <si>
    <t>ORD00745</t>
  </si>
  <si>
    <t>ORD01030</t>
  </si>
  <si>
    <t>ORD01019</t>
  </si>
  <si>
    <t>ORD00948</t>
  </si>
  <si>
    <t>ORD00585</t>
  </si>
  <si>
    <t>CUST0204</t>
  </si>
  <si>
    <t>ORD00056</t>
  </si>
  <si>
    <t>CUST0197</t>
  </si>
  <si>
    <t>ORD00108</t>
  </si>
  <si>
    <t>ORD00790</t>
  </si>
  <si>
    <t>ORD00345</t>
  </si>
  <si>
    <t>CUST0283</t>
  </si>
  <si>
    <t>ORD00797</t>
  </si>
  <si>
    <t>ORD00802</t>
  </si>
  <si>
    <t>ORD00358</t>
  </si>
  <si>
    <t>ORD00824</t>
  </si>
  <si>
    <t>ORD00633</t>
  </si>
  <si>
    <t>ORD01034</t>
  </si>
  <si>
    <t>CUST0289</t>
  </si>
  <si>
    <t>ORD00795</t>
  </si>
  <si>
    <t>ORD01138</t>
  </si>
  <si>
    <t>CUST0256</t>
  </si>
  <si>
    <t>ORD00861</t>
  </si>
  <si>
    <t>ORD00752</t>
  </si>
  <si>
    <t>ORD00571</t>
  </si>
  <si>
    <t>CUST0055</t>
  </si>
  <si>
    <t>ORD00978</t>
  </si>
  <si>
    <t>ORD00769</t>
  </si>
  <si>
    <t>ORD00617</t>
  </si>
  <si>
    <t>ORD00457</t>
  </si>
  <si>
    <t>ORD00763</t>
  </si>
  <si>
    <t>ORD00785</t>
  </si>
  <si>
    <t>ORD00372</t>
  </si>
  <si>
    <t>ORD01095</t>
  </si>
  <si>
    <t>ORD00878</t>
  </si>
  <si>
    <t>ORD00839</t>
  </si>
  <si>
    <t>ORD00440</t>
  </si>
  <si>
    <t>ORD01036</t>
  </si>
  <si>
    <t>ORD00389</t>
  </si>
  <si>
    <t>ORD00730</t>
  </si>
  <si>
    <t>ORD00753</t>
  </si>
  <si>
    <t>ORD00868</t>
  </si>
  <si>
    <t>CUST0002</t>
  </si>
  <si>
    <t>ORD00451</t>
  </si>
  <si>
    <t>ORD00400</t>
  </si>
  <si>
    <t>ORD00162</t>
  </si>
  <si>
    <t>ORD00410</t>
  </si>
  <si>
    <t>ORD00296</t>
  </si>
  <si>
    <t>ORD00283</t>
  </si>
  <si>
    <t>ORD00569</t>
  </si>
  <si>
    <t>CUST0186</t>
  </si>
  <si>
    <t>ORD00945</t>
  </si>
  <si>
    <t>ORD00194</t>
  </si>
  <si>
    <t>ORD00958</t>
  </si>
  <si>
    <t>ORD00280</t>
  </si>
  <si>
    <t>CUST0178</t>
  </si>
  <si>
    <t>ORD00830</t>
  </si>
  <si>
    <t>ORD00473</t>
  </si>
  <si>
    <t>CUST0266</t>
  </si>
  <si>
    <t>ORD00380</t>
  </si>
  <si>
    <t>ORD00176</t>
  </si>
  <si>
    <t>ORD00245</t>
  </si>
  <si>
    <t>ORD00499</t>
  </si>
  <si>
    <t>ORD00233</t>
  </si>
  <si>
    <t>ORD00719</t>
  </si>
  <si>
    <t>CUST0170</t>
  </si>
  <si>
    <t>ORD00158</t>
  </si>
  <si>
    <t>ORD00905</t>
  </si>
  <si>
    <t>ORD01079</t>
  </si>
  <si>
    <t>ORD00331</t>
  </si>
  <si>
    <t>ORD01145</t>
  </si>
  <si>
    <t>ORD00521</t>
  </si>
  <si>
    <t>ORD00271</t>
  </si>
  <si>
    <t>ORD00479</t>
  </si>
  <si>
    <t>ORD00147</t>
  </si>
  <si>
    <t>ORD00458</t>
  </si>
  <si>
    <t>ORD00229</t>
  </si>
  <si>
    <t>ORD00707</t>
  </si>
  <si>
    <t>ORD00962</t>
  </si>
  <si>
    <t>ORD00359</t>
  </si>
  <si>
    <t>CUST0060</t>
  </si>
  <si>
    <t>ORD00164</t>
  </si>
  <si>
    <t>ORD00866</t>
  </si>
  <si>
    <t>ORD00923</t>
  </si>
  <si>
    <t>ORD00819</t>
  </si>
  <si>
    <t>ORD00681</t>
  </si>
  <si>
    <t>ORD00974</t>
  </si>
  <si>
    <t>ORD00137</t>
  </si>
  <si>
    <t>ORD00910</t>
  </si>
  <si>
    <t>ORD01064</t>
  </si>
  <si>
    <t>ORD00294</t>
  </si>
  <si>
    <t>ORD00366</t>
  </si>
  <si>
    <t>ORD00973</t>
  </si>
  <si>
    <t>ORD00853</t>
  </si>
  <si>
    <t>ORD00046</t>
  </si>
  <si>
    <t>ORD00820</t>
  </si>
  <si>
    <t>CUST0071</t>
  </si>
  <si>
    <t>ORD00301</t>
  </si>
  <si>
    <t>CUST0222</t>
  </si>
  <si>
    <t>ORD00955</t>
  </si>
  <si>
    <t>ORD00914</t>
  </si>
  <si>
    <t>ORD00149</t>
  </si>
  <si>
    <t>ORD00600</t>
  </si>
  <si>
    <t>ORD00426</t>
  </si>
  <si>
    <t>ORD00849</t>
  </si>
  <si>
    <t>ORD00597</t>
  </si>
  <si>
    <t>ORD00602</t>
  </si>
  <si>
    <t>ORD00986</t>
  </si>
  <si>
    <t>ORD00192</t>
  </si>
  <si>
    <t>ORD00237</t>
  </si>
  <si>
    <t>ORD00577</t>
  </si>
  <si>
    <t>ORD00232</t>
  </si>
  <si>
    <t>ORD00998</t>
  </si>
  <si>
    <t>ORD01130</t>
  </si>
  <si>
    <t>ORD00403</t>
  </si>
  <si>
    <t>ORD00318</t>
  </si>
  <si>
    <t>ORD01106</t>
  </si>
  <si>
    <t>CUST0299</t>
  </si>
  <si>
    <t>ORD00911</t>
  </si>
  <si>
    <t>ORD00469</t>
  </si>
  <si>
    <t>ORD00873</t>
  </si>
  <si>
    <t>ORD00996</t>
  </si>
  <si>
    <t>ORD00062</t>
  </si>
  <si>
    <t>ORD00693</t>
  </si>
  <si>
    <t>ORD00422</t>
  </si>
  <si>
    <t>CUST0122</t>
  </si>
  <si>
    <t>ORD00736</t>
  </si>
  <si>
    <t>ORD01088</t>
  </si>
  <si>
    <t>ORD01083</t>
  </si>
  <si>
    <t>CUST0182</t>
  </si>
  <si>
    <t>ORD00246</t>
  </si>
  <si>
    <t>ORD00641</t>
  </si>
  <si>
    <t>ORD01140</t>
  </si>
  <si>
    <t>ORD00129</t>
  </si>
  <si>
    <t>ORD00537</t>
  </si>
  <si>
    <t>ORD01049</t>
  </si>
  <si>
    <t>ORD00964</t>
  </si>
  <si>
    <t>ORD00757</t>
  </si>
  <si>
    <t>ORD00539</t>
  </si>
  <si>
    <t>ORD01027</t>
  </si>
  <si>
    <t>CUST0237</t>
  </si>
  <si>
    <t>ORD00257</t>
  </si>
  <si>
    <t>ORD00804</t>
  </si>
  <si>
    <t>ORD00461</t>
  </si>
  <si>
    <t>ORD00548</t>
  </si>
  <si>
    <t>CUST0086</t>
  </si>
  <si>
    <t>ORD00202</t>
  </si>
  <si>
    <t>ORD00411</t>
  </si>
  <si>
    <t>ORD00829</t>
  </si>
  <si>
    <t>ORD00405</t>
  </si>
  <si>
    <t>ORD00504</t>
  </si>
  <si>
    <t>ORD00249</t>
  </si>
  <si>
    <t>ORD00013</t>
  </si>
  <si>
    <t>ORD00008</t>
  </si>
  <si>
    <t>ORD01113</t>
  </si>
  <si>
    <t>CUST0236</t>
  </si>
  <si>
    <t>ORD00386</t>
  </si>
  <si>
    <t>CUST0106</t>
  </si>
  <si>
    <t>ORD00623</t>
  </si>
  <si>
    <t>ORD00228</t>
  </si>
  <si>
    <t>ORD00026</t>
  </si>
  <si>
    <t>CUST0147</t>
  </si>
  <si>
    <t>ORD00462</t>
  </si>
  <si>
    <t>CUST0244</t>
  </si>
  <si>
    <t>ORD00048</t>
  </si>
  <si>
    <t>ORD00107</t>
  </si>
  <si>
    <t>ORD00058</t>
  </si>
  <si>
    <t>ORD00349</t>
  </si>
  <si>
    <t>ORD00928</t>
  </si>
  <si>
    <t>ORD00680</t>
  </si>
  <si>
    <t>ORD00121</t>
  </si>
  <si>
    <t>ORD00660</t>
  </si>
  <si>
    <t>ORD01052</t>
  </si>
  <si>
    <t>ORD00508</t>
  </si>
  <si>
    <t>ORD00889</t>
  </si>
  <si>
    <t>ORD00320</t>
  </si>
  <si>
    <t>ORD00638</t>
  </si>
  <si>
    <t>ORD00042</t>
  </si>
  <si>
    <t>ORD00992</t>
  </si>
  <si>
    <t>CUST0095</t>
  </si>
  <si>
    <t>ORD00005</t>
  </si>
  <si>
    <t>ORD00300</t>
  </si>
  <si>
    <t>ORD00913</t>
  </si>
  <si>
    <t>ORD00855</t>
  </si>
  <si>
    <t>ORD01071</t>
  </si>
  <si>
    <t>ORD00755</t>
  </si>
  <si>
    <t>ORD00860</t>
  </si>
  <si>
    <t>ORD00983</t>
  </si>
  <si>
    <t>ORD00926</t>
  </si>
  <si>
    <t>CUST0076</t>
  </si>
  <si>
    <t>ORD00510</t>
  </si>
  <si>
    <t>ORD00487</t>
  </si>
  <si>
    <t>ORD00353</t>
  </si>
  <si>
    <t>ORD01015</t>
  </si>
  <si>
    <t>ORD00653</t>
  </si>
  <si>
    <t>ORD00374</t>
  </si>
  <si>
    <t>ORD00640</t>
  </si>
  <si>
    <t>ORD00396</t>
  </si>
  <si>
    <t>CUST0094</t>
  </si>
  <si>
    <t>ORD00937</t>
  </si>
  <si>
    <t>ORD00074</t>
  </si>
  <si>
    <t>ORD00452</t>
  </si>
  <si>
    <t>ORD00115</t>
  </si>
  <si>
    <t>ORD00219</t>
  </si>
  <si>
    <t>ORD00226</t>
  </si>
  <si>
    <t>ORD00315</t>
  </si>
  <si>
    <t>ORD00612</t>
  </si>
  <si>
    <t>ORD00180</t>
  </si>
  <si>
    <t>ORD00950</t>
  </si>
  <si>
    <t>ORD01128</t>
  </si>
  <si>
    <t>ORD01118</t>
  </si>
  <si>
    <t>ORD00879</t>
  </si>
  <si>
    <t>ORD00143</t>
  </si>
  <si>
    <t>ORD00580</t>
  </si>
  <si>
    <t>ORD00517</t>
  </si>
  <si>
    <t>ORD00154</t>
  </si>
  <si>
    <t>ORD01092</t>
  </si>
  <si>
    <t>ORD00003</t>
  </si>
  <si>
    <t>ORD00900</t>
  </si>
  <si>
    <t>ORD00509</t>
  </si>
  <si>
    <t>ORD00904</t>
  </si>
  <si>
    <t>CUST0057</t>
  </si>
  <si>
    <t>ORD00654</t>
  </si>
  <si>
    <t>ORD00307</t>
  </si>
  <si>
    <t>ORD00930</t>
  </si>
  <si>
    <t>ORD01002</t>
  </si>
  <si>
    <t>ORD00183</t>
  </si>
  <si>
    <t>ORD00663</t>
  </si>
  <si>
    <t>ORD00288</t>
  </si>
  <si>
    <t>ORD00792</t>
  </si>
  <si>
    <t>ORD01053</t>
  </si>
  <si>
    <t>ORD00089</t>
  </si>
  <si>
    <t>ORD00470</t>
  </si>
  <si>
    <t>ORD00429</t>
  </si>
  <si>
    <t>ORD00935</t>
  </si>
  <si>
    <t>ORD01094</t>
  </si>
  <si>
    <t>ORD01126</t>
  </si>
  <si>
    <t>ORD00865</t>
  </si>
  <si>
    <t>ORD00061</t>
  </si>
  <si>
    <t>ORD01046</t>
  </si>
  <si>
    <t>ORD00965</t>
  </si>
  <si>
    <t>ORD01066</t>
  </si>
  <si>
    <t>ORD00846</t>
  </si>
  <si>
    <t>ORD01100</t>
  </si>
  <si>
    <t>ORD00943</t>
  </si>
  <si>
    <t>ORD00100</t>
  </si>
  <si>
    <t>ORD00675</t>
  </si>
  <si>
    <t>ORD00635</t>
  </si>
  <si>
    <t>ORD00430</t>
  </si>
  <si>
    <t>ORD00134</t>
  </si>
  <si>
    <t>ORD01169</t>
  </si>
  <si>
    <t>ORD01149</t>
  </si>
  <si>
    <t>ORD00892</t>
  </si>
  <si>
    <t>ORD01016</t>
  </si>
  <si>
    <t>ORD00683</t>
  </si>
  <si>
    <t>CUST0252</t>
  </si>
  <si>
    <t>ORD00095</t>
  </si>
  <si>
    <t>ORD00609</t>
  </si>
  <si>
    <t>ORD01029</t>
  </si>
  <si>
    <t>ORD00883</t>
  </si>
  <si>
    <t>ORD00721</t>
  </si>
  <si>
    <t>ORD00572</t>
  </si>
  <si>
    <t>ORD00186</t>
  </si>
  <si>
    <t>ORD00934</t>
  </si>
  <si>
    <t>ORD00575</t>
  </si>
  <si>
    <t>ORD00703</t>
  </si>
  <si>
    <t>ORD00163</t>
  </si>
  <si>
    <t>ORD00495</t>
  </si>
  <si>
    <t>ORD00545</t>
  </si>
  <si>
    <t>ORD00595</t>
  </si>
  <si>
    <t>ORD00540</t>
  </si>
  <si>
    <t>ORD01038</t>
  </si>
  <si>
    <t>ORD00248</t>
  </si>
  <si>
    <t>ORD01068</t>
  </si>
  <si>
    <t>ORD00822</t>
  </si>
  <si>
    <t>ORD01151</t>
  </si>
  <si>
    <t>ORD00767</t>
  </si>
  <si>
    <t>ORD00808</t>
  </si>
  <si>
    <t>ORD00112</t>
  </si>
  <si>
    <t>ORD00733</t>
  </si>
  <si>
    <t>ORD00357</t>
  </si>
  <si>
    <t>ORD00116</t>
  </si>
  <si>
    <t>ORD00702</t>
  </si>
  <si>
    <t>ORD00566</t>
  </si>
  <si>
    <t>ORD00793</t>
  </si>
  <si>
    <t>ORD01077</t>
  </si>
  <si>
    <t>ORD00522</t>
  </si>
  <si>
    <t>CUST0016</t>
  </si>
  <si>
    <t>ORD00415</t>
  </si>
  <si>
    <t>ORD00113</t>
  </si>
  <si>
    <t>ORD00599</t>
  </si>
  <si>
    <t>ORD00881</t>
  </si>
  <si>
    <t>ORD00304</t>
  </si>
  <si>
    <t>ORD01175</t>
  </si>
  <si>
    <t>ORD00241</t>
  </si>
  <si>
    <t>ORD00704</t>
  </si>
  <si>
    <t>ORD01045</t>
  </si>
  <si>
    <t>ORD01003</t>
  </si>
  <si>
    <t>ORD00373</t>
  </si>
  <si>
    <t>ORD00692</t>
  </si>
  <si>
    <t>ORD01110</t>
  </si>
  <si>
    <t>ORD00394</t>
  </si>
  <si>
    <t>ORD00503</t>
  </si>
  <si>
    <t>ORD00687</t>
  </si>
  <si>
    <t>ORD01009</t>
  </si>
  <si>
    <t>ORD00169</t>
  </si>
  <si>
    <t>ORD00409</t>
  </si>
  <si>
    <t>ORD01191</t>
  </si>
  <si>
    <t>CUST0261</t>
  </si>
  <si>
    <t>ORD00375</t>
  </si>
  <si>
    <t>ORD00311</t>
  </si>
  <si>
    <t>ORD00200</t>
  </si>
  <si>
    <t>ORD00395</t>
  </si>
  <si>
    <t>ORD00367</t>
  </si>
  <si>
    <t>ORD00028</t>
  </si>
  <si>
    <t>ORD00135</t>
  </si>
  <si>
    <t>ORD00314</t>
  </si>
  <si>
    <t>ORD00555</t>
  </si>
  <si>
    <t>ORD00427</t>
  </si>
  <si>
    <t>ORD00787</t>
  </si>
  <si>
    <t>ORD00557</t>
  </si>
  <si>
    <t>ORD00809</t>
  </si>
  <si>
    <t>ORD01137</t>
  </si>
  <si>
    <t>ORD00672</t>
  </si>
  <si>
    <t>ORD00551</t>
  </si>
  <si>
    <t>ORD00014</t>
  </si>
  <si>
    <t>ORD00739</t>
  </si>
  <si>
    <t>ORD00335</t>
  </si>
  <si>
    <t>ORD00258</t>
  </si>
  <si>
    <t>ORD00622</t>
  </si>
  <si>
    <t>ORD01143</t>
  </si>
  <si>
    <t>ORD00811</t>
  </si>
  <si>
    <t>ORD00099</t>
  </si>
  <si>
    <t>ORD00131</t>
  </si>
  <si>
    <t>ORD00274</t>
  </si>
  <si>
    <t>ORD01037</t>
  </si>
  <si>
    <t>ORD01121</t>
  </si>
  <si>
    <t>ORD00665</t>
  </si>
  <si>
    <t>ORD00775</t>
  </si>
  <si>
    <t>ORD00449</t>
  </si>
  <si>
    <t>ORD00179</t>
  </si>
  <si>
    <t>ORD00336</t>
  </si>
  <si>
    <t>ORD00843</t>
  </si>
  <si>
    <t>ORD00145</t>
  </si>
  <si>
    <t>ORD00821</t>
  </si>
  <si>
    <t>ORD00073</t>
  </si>
  <si>
    <t>ORD00756</t>
  </si>
  <si>
    <t>ORD00260</t>
  </si>
  <si>
    <t>ORD00678</t>
  </si>
  <si>
    <t>ORD00741</t>
  </si>
  <si>
    <t>ORD00166</t>
  </si>
  <si>
    <t>ORD01136</t>
  </si>
  <si>
    <t>ORD00807</t>
  </si>
  <si>
    <t>ORD01173</t>
  </si>
  <si>
    <t>ORD00689</t>
  </si>
  <si>
    <t>ORD00425</t>
  </si>
  <si>
    <t>ORD00655</t>
  </si>
  <si>
    <t>ORD00507</t>
  </si>
  <si>
    <t>ORD00432</t>
  </si>
  <si>
    <t>ORD00621</t>
  </si>
  <si>
    <t>ORD00088</t>
  </si>
  <si>
    <t>ORD00383</t>
  </si>
  <si>
    <t>ORD00085</t>
  </si>
  <si>
    <t>ORD00070</t>
  </si>
  <si>
    <t>ORD00250</t>
  </si>
  <si>
    <t>ORD00772</t>
  </si>
  <si>
    <t>ORD00441</t>
  </si>
  <si>
    <t>ORD00339</t>
  </si>
  <si>
    <t>ORD00618</t>
  </si>
  <si>
    <t>ORD01122</t>
  </si>
  <si>
    <t>ORD00168</t>
  </si>
  <si>
    <t>ORD00456</t>
  </si>
  <si>
    <t>ORD00645</t>
  </si>
  <si>
    <t>CUST0029</t>
  </si>
  <si>
    <t>ORD00726</t>
  </si>
  <si>
    <t>ORD00071</t>
  </si>
  <si>
    <t>ORD00266</t>
  </si>
  <si>
    <t>ORD00920</t>
  </si>
  <si>
    <t>ORD00050</t>
  </si>
  <si>
    <t>ORD00625</t>
  </si>
  <si>
    <t>ORD00616</t>
  </si>
  <si>
    <t>ORD00933</t>
  </si>
  <si>
    <t>ORD00601</t>
  </si>
  <si>
    <t>ORD01087</t>
  </si>
  <si>
    <t>ORD00796</t>
  </si>
  <si>
    <t>ORD00610</t>
  </si>
  <si>
    <t>ORD00087</t>
  </si>
  <si>
    <t>ORD01108</t>
  </si>
  <si>
    <t>ORD00057</t>
  </si>
  <si>
    <t>CUST0224</t>
  </si>
  <si>
    <t>ORD00177</t>
  </si>
  <si>
    <t>ORD00954</t>
  </si>
  <si>
    <t>ORD01177</t>
  </si>
  <si>
    <t>ORD00443</t>
  </si>
  <si>
    <t>ORD00212</t>
  </si>
  <si>
    <t>ORD00094</t>
  </si>
  <si>
    <t>ORD00261</t>
  </si>
  <si>
    <t>ORD00880</t>
  </si>
  <si>
    <t>ORD00742</t>
  </si>
  <si>
    <t>ORD00156</t>
  </si>
  <si>
    <t>CUST0234</t>
  </si>
  <si>
    <t>ORD00227</t>
  </si>
  <si>
    <t>ORD00581</t>
  </si>
  <si>
    <t>ORD00412</t>
  </si>
  <si>
    <t>ORD00188</t>
  </si>
  <si>
    <t>ORD00857</t>
  </si>
  <si>
    <t>ORD00464</t>
  </si>
  <si>
    <t>ORD00393</t>
  </si>
  <si>
    <t>ORD00090</t>
  </si>
  <si>
    <t>ORD00547</t>
  </si>
  <si>
    <t>ORD00685</t>
  </si>
  <si>
    <t>ORD00536</t>
  </si>
  <si>
    <t>ORD00289</t>
  </si>
  <si>
    <t>ORD00932</t>
  </si>
  <si>
    <t>ORD00656</t>
  </si>
  <si>
    <t>ORD00346</t>
  </si>
  <si>
    <t>ORD00356</t>
  </si>
  <si>
    <t>ORD01072</t>
  </si>
  <si>
    <t>ORD00971</t>
  </si>
  <si>
    <t>ORD00326</t>
  </si>
  <si>
    <t>ORD00120</t>
  </si>
  <si>
    <t>ORD00896</t>
  </si>
  <si>
    <t>ORD00104</t>
  </si>
  <si>
    <t>ORD01062</t>
  </si>
  <si>
    <t>ORD00589</t>
  </si>
  <si>
    <t>ORD00749</t>
  </si>
  <si>
    <t>ORD00190</t>
  </si>
  <si>
    <t>ORD00016</t>
  </si>
  <si>
    <t>ORD00324</t>
  </si>
  <si>
    <t>CUST0240</t>
  </si>
  <si>
    <t>ORD00031</t>
  </si>
  <si>
    <t>ORD00124</t>
  </si>
  <si>
    <t>ORD00848</t>
  </si>
  <si>
    <t>ORD00845</t>
  </si>
  <si>
    <t>ORD00661</t>
  </si>
  <si>
    <t>ORD00737</t>
  </si>
  <si>
    <t>ORD00110</t>
  </si>
  <si>
    <t>ORD00698</t>
  </si>
  <si>
    <t>ORD00701</t>
  </si>
  <si>
    <t>ORD01076</t>
  </si>
  <si>
    <t>ORD00079</t>
  </si>
  <si>
    <t>ORD00150</t>
  </si>
  <si>
    <t>ORD00535</t>
  </si>
  <si>
    <t>ORD00035</t>
  </si>
  <si>
    <t>ORD01089</t>
  </si>
  <si>
    <t>ORD00463</t>
  </si>
  <si>
    <t>ORD00325</t>
  </si>
  <si>
    <t>ORD01152</t>
  </si>
  <si>
    <t>ORD00080</t>
  </si>
  <si>
    <t>ORD00647</t>
  </si>
  <si>
    <t>ORD00414</t>
  </si>
  <si>
    <t>ORD00293</t>
  </si>
  <si>
    <t>ORD00378</t>
  </si>
  <si>
    <t>ORD00278</t>
  </si>
  <si>
    <t>ORD00512</t>
  </si>
  <si>
    <t>ORD00444</t>
  </si>
  <si>
    <t>ORD00716</t>
  </si>
  <si>
    <t>ORD00333</t>
  </si>
  <si>
    <t>ORD00643</t>
  </si>
  <si>
    <t>ORD00406</t>
  </si>
  <si>
    <t>ORD00344</t>
  </si>
  <si>
    <t>ORD00254</t>
  </si>
  <si>
    <t>ORD00592</t>
  </si>
  <si>
    <t>ORD00531</t>
  </si>
  <si>
    <t>ORD00310</t>
  </si>
  <si>
    <t>ORD00567</t>
  </si>
  <si>
    <t>ORD01000</t>
  </si>
  <si>
    <t>ORD00825</t>
  </si>
  <si>
    <t>ORD00019</t>
  </si>
  <si>
    <t>ORD00076</t>
  </si>
  <si>
    <t>ORD00906</t>
  </si>
  <si>
    <t>ORD00476</t>
  </si>
  <si>
    <t>ORD00419</t>
  </si>
  <si>
    <t>ORD00523</t>
  </si>
  <si>
    <t>ORD01055</t>
  </si>
  <si>
    <t>ORD01176</t>
  </si>
  <si>
    <t>ORD00122</t>
  </si>
  <si>
    <t>ORD00546</t>
  </si>
  <si>
    <t>ORD00835</t>
  </si>
  <si>
    <t>ORD01190</t>
  </si>
  <si>
    <t>ORD00360</t>
  </si>
  <si>
    <t>ORD01187</t>
  </si>
  <si>
    <t>ORD00652</t>
  </si>
  <si>
    <t>ORD00738</t>
  </si>
  <si>
    <t>ORD01050</t>
  </si>
  <si>
    <t>ORD00195</t>
  </si>
  <si>
    <t>ORD01189</t>
  </si>
  <si>
    <t>ORD00817</t>
  </si>
  <si>
    <t>ORD01025</t>
  </si>
  <si>
    <t>ORD00966</t>
  </si>
  <si>
    <t>ORD00450</t>
  </si>
  <si>
    <t>ORD00794</t>
  </si>
  <si>
    <t>ORD01058</t>
  </si>
  <si>
    <t>ORD01132</t>
  </si>
  <si>
    <t>ORD01051</t>
  </si>
  <si>
    <t>ORD01096</t>
  </si>
  <si>
    <t>ORD00743</t>
  </si>
  <si>
    <t>ORD00931</t>
  </si>
  <si>
    <t>ORD00282</t>
  </si>
  <si>
    <t>CUST0096</t>
  </si>
  <si>
    <t>ORD00408</t>
  </si>
  <si>
    <t>ORD00024</t>
  </si>
  <si>
    <t>ORD01063</t>
  </si>
  <si>
    <t>ORD00064</t>
  </si>
  <si>
    <t>ORD00287</t>
  </si>
  <si>
    <t>ORD00717</t>
  </si>
  <si>
    <t>ORD00901</t>
  </si>
  <si>
    <t>ORD00247</t>
  </si>
  <si>
    <t>ORD00985</t>
  </si>
  <si>
    <t>ORD01134</t>
  </si>
  <si>
    <t>ORD00750</t>
  </si>
  <si>
    <t>ORD00181</t>
  </si>
  <si>
    <t>ORD00944</t>
  </si>
  <si>
    <t>ORD00611</t>
  </si>
  <si>
    <t>ORD01197</t>
  </si>
  <si>
    <t>ORD00570</t>
  </si>
  <si>
    <t>ORD00872</t>
  </si>
  <si>
    <t>ORD00385</t>
  </si>
  <si>
    <t>ORD00251</t>
  </si>
  <si>
    <t>ORD00138</t>
  </si>
  <si>
    <t>ORD00009</t>
  </si>
  <si>
    <t>ORD00490</t>
  </si>
  <si>
    <t>ORD00477</t>
  </si>
  <si>
    <t>ORD00842</t>
  </si>
  <si>
    <t>ORD00691</t>
  </si>
  <si>
    <t>ORD00953</t>
  </si>
  <si>
    <t>ORD00022</t>
  </si>
  <si>
    <t>ORD00125</t>
  </si>
  <si>
    <t>ORD00091</t>
  </si>
  <si>
    <t>ORD00486</t>
  </si>
  <si>
    <t>ORD00659</t>
  </si>
  <si>
    <t>ORD00908</t>
  </si>
  <si>
    <t>ORD00474</t>
  </si>
  <si>
    <t>ORD00273</t>
  </si>
  <si>
    <t>ORD01101</t>
  </si>
  <si>
    <t>ORD00859</t>
  </si>
  <si>
    <t>ORD00096</t>
  </si>
  <si>
    <t>ORD00565</t>
  </si>
  <si>
    <t>ORD00214</t>
  </si>
  <si>
    <t>ORD00511</t>
  </si>
  <si>
    <t>ORD01021</t>
  </si>
  <si>
    <t>ORD00235</t>
  </si>
  <si>
    <t>ORD01131</t>
  </si>
  <si>
    <t>ORD00982</t>
  </si>
  <si>
    <t>ORD00299</t>
  </si>
  <si>
    <t>ORD01146</t>
  </si>
  <si>
    <t>ORD00725</t>
  </si>
  <si>
    <t>ORD00407</t>
  </si>
  <si>
    <t>ORD00999</t>
  </si>
  <si>
    <t>ORD00439</t>
  </si>
  <si>
    <t>ORD00323</t>
  </si>
  <si>
    <t>ORD00272</t>
  </si>
  <si>
    <t>ORD00628</t>
  </si>
  <si>
    <t>ORD00715</t>
  </si>
  <si>
    <t>ORD00927</t>
  </si>
  <si>
    <t>ORD00972</t>
  </si>
  <si>
    <t>ORD00211</t>
  </si>
  <si>
    <t>ORD01183</t>
  </si>
  <si>
    <t>ORD00897</t>
  </si>
  <si>
    <t>ORD00761</t>
  </si>
  <si>
    <t>ORD00459</t>
  </si>
  <si>
    <t>ORD01031</t>
  </si>
  <si>
    <t>ORD00863</t>
  </si>
  <si>
    <t>ORD00782</t>
  </si>
  <si>
    <t>ORD01159</t>
  </si>
  <si>
    <t>ORD00102</t>
  </si>
  <si>
    <t>ORD00002</t>
  </si>
  <si>
    <t>ORD00491</t>
  </si>
  <si>
    <t>ORD00330</t>
  </si>
  <si>
    <t>ORD00993</t>
  </si>
  <si>
    <t>ORD01075</t>
  </si>
  <si>
    <t>ORD00773</t>
  </si>
  <si>
    <t>ORD00975</t>
  </si>
  <si>
    <t>ORD00127</t>
  </si>
  <si>
    <t>ORD00947</t>
  </si>
  <si>
    <t>ORD00004</t>
  </si>
  <si>
    <t>ORD00668</t>
  </si>
  <si>
    <t>ORD01198</t>
  </si>
  <si>
    <t>ORD00956</t>
  </si>
  <si>
    <t>ORD00532</t>
  </si>
  <si>
    <t>ORD00265</t>
  </si>
  <si>
    <t>ORD00838</t>
  </si>
  <si>
    <t>ORD00034</t>
  </si>
  <si>
    <t>Row Labels</t>
  </si>
  <si>
    <t>Grand Total</t>
  </si>
  <si>
    <t>Sum of Sales</t>
  </si>
  <si>
    <t>Q1. Which region has the lowest total sales?</t>
  </si>
  <si>
    <t>Q2. Which product has the highest total sales?</t>
  </si>
  <si>
    <t>Sum of Profit</t>
  </si>
  <si>
    <t>Discount amount</t>
  </si>
  <si>
    <t>Sum of Discount amount</t>
  </si>
  <si>
    <t>Laptop Pro 15</t>
  </si>
  <si>
    <t>Column1</t>
  </si>
  <si>
    <t>Column2</t>
  </si>
  <si>
    <t>Column3</t>
  </si>
  <si>
    <t>KPI</t>
  </si>
  <si>
    <t>Value</t>
  </si>
  <si>
    <t>Total Sales</t>
  </si>
  <si>
    <t>Total Profit</t>
  </si>
  <si>
    <t>Total Orders</t>
  </si>
  <si>
    <t>Units Sold</t>
  </si>
  <si>
    <t>Average Order Value</t>
  </si>
  <si>
    <t>Profit Margin</t>
  </si>
  <si>
    <t>Answer:</t>
  </si>
  <si>
    <t xml:space="preserve"> </t>
  </si>
  <si>
    <t>Orders</t>
  </si>
  <si>
    <t>Q3. What is the total Profit generated?</t>
  </si>
  <si>
    <t>Q4. How much revenue was given up through discounts?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</si>
</sst>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\ hh:mm:ss"/>
    <numFmt numFmtId="165" formatCode="\$#,##0.00"/>
    <numFmt numFmtId="166" formatCode="0.0%"/>
    <numFmt numFmtId="167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color theme="1"/>
      <name val="Lucida Bright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2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 wrapText="1"/>
    </xf>
    <xf numFmtId="167" fontId="0" fillId="0" borderId="0" xfId="0" applyNumberFormat="1"/>
    <xf numFmtId="44" fontId="0" fillId="0" borderId="0" xfId="0" applyNumberFormat="1"/>
    <xf numFmtId="44" fontId="0" fillId="0" borderId="6" xfId="1" applyFont="1" applyBorder="1"/>
    <xf numFmtId="44" fontId="0" fillId="0" borderId="0" xfId="1" applyFont="1"/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44" fontId="6" fillId="0" borderId="0" xfId="0" applyNumberFormat="1" applyFont="1"/>
    <xf numFmtId="0" fontId="6" fillId="0" borderId="0" xfId="0" applyFont="1" applyAlignment="1">
      <alignment horizontal="left"/>
    </xf>
    <xf numFmtId="44" fontId="6" fillId="0" borderId="0" xfId="1" applyFont="1"/>
    <xf numFmtId="0" fontId="0" fillId="0" borderId="0" xfId="0" pivotButton="1" applyAlignment="1">
      <alignment horizontal="center" wrapText="1"/>
    </xf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6" fontId="0" fillId="0" borderId="1" xfId="0" applyNumberFormat="1" applyBorder="1"/>
    <xf numFmtId="0" fontId="3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15">
    <dxf>
      <font>
        <sz val="12"/>
      </font>
    </dxf>
    <dxf>
      <numFmt numFmtId="34" formatCode="_(&quot;$&quot;* #,##0.00_);_(&quot;$&quot;* \(#,##0.00\);_(&quot;$&quot;* &quot;-&quot;??_);_(@_)"/>
    </dxf>
    <dxf>
      <alignment wrapText="1"/>
    </dxf>
    <dxf>
      <alignment horizontal="center"/>
    </dxf>
    <dxf>
      <font>
        <sz val="12"/>
      </font>
    </dxf>
    <dxf>
      <numFmt numFmtId="34" formatCode="_(&quot;$&quot;* #,##0.00_);_(&quot;$&quot;* \(#,##0.00\);_(&quot;$&quot;* &quot;-&quot;??_);_(@_)"/>
    </dxf>
    <dxf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Analysis.xlsx]Q1&amp;2!PivotTable1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Sales</a:t>
            </a:r>
            <a:r>
              <a:rPr lang="en-US" sz="2000" b="1" baseline="0"/>
              <a:t> by Region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EE0621A-31B2-41FB-A06C-21046A7600F5}" type="VALUE">
                  <a:rPr lang="en-US" sz="1100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2566087541493231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84651B2-86E6-4F1D-86AE-33F7BF238EB7}" type="VALUE">
                  <a:rPr lang="en-US" sz="1100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6C40E58-7538-433C-BA8D-EB07BF85CA17}" type="VALUE">
                  <a:rPr lang="en-US" sz="1100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434AA2E-E2A8-49A9-8951-89B08C3E534D}" type="VALUE">
                  <a:rPr lang="en-US" sz="1100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'Q1&amp;2'!$B$3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33A-4AF5-9A43-BF7850A4437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3A-4AF5-9A43-BF7850A4437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33A-4AF5-9A43-BF7850A4437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3A-4AF5-9A43-BF7850A4437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434AA2E-E2A8-49A9-8951-89B08C3E534D}" type="VALUE">
                      <a:rPr lang="en-US" sz="1100" b="1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33A-4AF5-9A43-BF7850A443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6C40E58-7538-433C-BA8D-EB07BF85CA17}" type="VALUE">
                      <a:rPr lang="en-US" sz="1100" b="1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33A-4AF5-9A43-BF7850A44379}"/>
                </c:ext>
              </c:extLst>
            </c:dLbl>
            <c:dLbl>
              <c:idx val="2"/>
              <c:layout>
                <c:manualLayout>
                  <c:x val="2.2566087541493231E-3"/>
                  <c:y val="0"/>
                </c:manualLayout>
              </c:layout>
              <c:tx>
                <c:rich>
                  <a:bodyPr/>
                  <a:lstStyle/>
                  <a:p>
                    <a:fld id="{484651B2-86E6-4F1D-86AE-33F7BF238EB7}" type="VALUE">
                      <a:rPr lang="en-US" sz="1100" b="1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33A-4AF5-9A43-BF7850A4437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EE0621A-31B2-41FB-A06C-21046A7600F5}" type="VALUE">
                      <a:rPr lang="en-US" sz="1100" b="1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33A-4AF5-9A43-BF7850A443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'Q1&amp;2'!$A$4:$A$8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'Q1&amp;2'!$B$4:$B$8</c:f>
              <c:numCache>
                <c:formatCode>_("$"* #,##0.00_);_("$"* \(#,##0.00\);_("$"* "-"??_);_(@_)</c:formatCode>
                <c:ptCount val="4"/>
                <c:pt idx="0">
                  <c:v>90187.489999999947</c:v>
                </c:pt>
                <c:pt idx="1">
                  <c:v>92205.17</c:v>
                </c:pt>
                <c:pt idx="2">
                  <c:v>121998.43999999999</c:v>
                </c:pt>
                <c:pt idx="3">
                  <c:v>92101.639999999985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A-4AF5-9A43-BF7850A443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9098479"/>
        <c:axId val="1399098063"/>
      </c:barChart>
      <c:catAx>
        <c:axId val="139909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98063"/>
        <c:crosses val="autoZero"/>
        <c:auto val="1"/>
        <c:lblAlgn val="ctr"/>
        <c:lblOffset val="100"/>
        <c:noMultiLvlLbl val="0"/>
      </c:catAx>
      <c:valAx>
        <c:axId val="139909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9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Sales</a:t>
            </a:r>
            <a:r>
              <a:rPr lang="en-US" sz="1800" b="1" baseline="0"/>
              <a:t> by Category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8676536182324"/>
          <c:y val="0.13247105544121449"/>
          <c:w val="0.83148528872591221"/>
          <c:h val="0.7726512751646882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[1]Q5!$H$13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5546214150319984E-2"/>
                  <c:y val="-0.38372089509971663"/>
                </c:manualLayout>
              </c:layout>
              <c:tx>
                <c:rich>
                  <a:bodyPr/>
                  <a:lstStyle/>
                  <a:p>
                    <a:fld id="{75FB30D1-75D3-44F1-8690-1D19CF7B33D6}" type="VALUE">
                      <a:rPr lang="en-US" sz="1100" b="1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286-4FA5-91C1-5B047A4F863B}"/>
                </c:ext>
              </c:extLst>
            </c:dLbl>
            <c:dLbl>
              <c:idx val="1"/>
              <c:layout>
                <c:manualLayout>
                  <c:x val="-2.7731090602058452E-2"/>
                  <c:y val="-0.17441858868168944"/>
                </c:manualLayout>
              </c:layout>
              <c:tx>
                <c:rich>
                  <a:bodyPr/>
                  <a:lstStyle/>
                  <a:p>
                    <a:fld id="{9A37EB4D-F8A0-4F60-AFF0-2626C24DEF34}" type="VALUE">
                      <a:rPr lang="en-US" sz="1100" b="1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286-4FA5-91C1-5B047A4F863B}"/>
                </c:ext>
              </c:extLst>
            </c:dLbl>
            <c:dLbl>
              <c:idx val="2"/>
              <c:layout>
                <c:manualLayout>
                  <c:x val="1.2606033705681618E-3"/>
                  <c:y val="-7.848836490676021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40377FF-4783-4E52-9CA0-43D3DA1F9557}" type="VALUE">
                      <a:rPr lang="en-US" sz="1100" b="1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025638852270305"/>
                      <c:h val="0.1639012851216549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286-4FA5-91C1-5B047A4F863B}"/>
                </c:ext>
              </c:extLst>
            </c:dLbl>
            <c:dLbl>
              <c:idx val="3"/>
              <c:layout>
                <c:manualLayout>
                  <c:x val="1.008403294620306E-2"/>
                  <c:y val="-5.058139071769004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CF6A419-BEAB-4F7C-B57F-C2E3D2E614BE}" type="VALUE">
                      <a:rPr lang="en-US" sz="1100" b="1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069336857716079"/>
                      <c:h val="8.7157106101711582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286-4FA5-91C1-5B047A4F86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[1]Q5!$G$14:$G$17</c:f>
              <c:strCache>
                <c:ptCount val="4"/>
                <c:pt idx="0">
                  <c:v>Technology</c:v>
                </c:pt>
                <c:pt idx="1">
                  <c:v>Furniture</c:v>
                </c:pt>
                <c:pt idx="2">
                  <c:v>Lifestyle</c:v>
                </c:pt>
                <c:pt idx="3">
                  <c:v>Office Supplies</c:v>
                </c:pt>
              </c:strCache>
            </c:strRef>
          </c:cat>
          <c:val>
            <c:numRef>
              <c:f>[1]Q5!$H$14:$H$17</c:f>
              <c:numCache>
                <c:formatCode>General</c:formatCode>
                <c:ptCount val="4"/>
                <c:pt idx="0">
                  <c:v>266544.46000000002</c:v>
                </c:pt>
                <c:pt idx="1">
                  <c:v>105010.92</c:v>
                </c:pt>
                <c:pt idx="2">
                  <c:v>17131.939999999999</c:v>
                </c:pt>
                <c:pt idx="3">
                  <c:v>7805.42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6-4FA5-91C1-5B047A4F86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81867951"/>
        <c:axId val="1781869615"/>
      </c:barChart>
      <c:catAx>
        <c:axId val="178186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869615"/>
        <c:crosses val="autoZero"/>
        <c:auto val="1"/>
        <c:lblAlgn val="ctr"/>
        <c:lblOffset val="100"/>
        <c:noMultiLvlLbl val="0"/>
      </c:catAx>
      <c:valAx>
        <c:axId val="178186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86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</a:t>
            </a:r>
            <a:r>
              <a:rPr lang="en-US" sz="1600" b="1" baseline="0"/>
              <a:t> by Customer Segment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[1]Q4!$G$14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10-44DD-9B89-783AE71C07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10-44DD-9B89-783AE71C07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10-44DD-9B89-783AE71C0730}"/>
              </c:ext>
            </c:extLst>
          </c:dPt>
          <c:dLbls>
            <c:dLbl>
              <c:idx val="0"/>
              <c:layout>
                <c:manualLayout>
                  <c:x val="9.7222331583552049E-2"/>
                  <c:y val="-4.6296296296295869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2BAF68C-6213-4E0A-A11F-587FBEA78654}" type="VALUE">
                      <a:rPr lang="en-US" sz="1100" b="1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87510936132981"/>
                      <c:h val="0.2915974044911052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110-44DD-9B89-783AE71C0730}"/>
                </c:ext>
              </c:extLst>
            </c:dLbl>
            <c:dLbl>
              <c:idx val="1"/>
              <c:layout>
                <c:manualLayout>
                  <c:x val="-7.0833333333333331E-2"/>
                  <c:y val="9.2592592592591737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B260698-6925-4020-96AA-C23652D50769}" type="VALUE">
                      <a:rPr lang="en-US" sz="1100" b="1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270844269466317"/>
                      <c:h val="8.53240740740740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110-44DD-9B89-783AE71C0730}"/>
                </c:ext>
              </c:extLst>
            </c:dLbl>
            <c:dLbl>
              <c:idx val="2"/>
              <c:layout>
                <c:manualLayout>
                  <c:x val="-0.12222222222222225"/>
                  <c:y val="0"/>
                </c:manualLayout>
              </c:layout>
              <c:tx>
                <c:rich>
                  <a:bodyPr/>
                  <a:lstStyle/>
                  <a:p>
                    <a:fld id="{6AD5B902-2BFF-4DE8-9156-A2212A851F5D}" type="VALUE">
                      <a:rPr lang="en-US" sz="1100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110-44DD-9B89-783AE71C07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[1]Q4!$F$15:$F$17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[1]Q4!$G$15:$G$17</c:f>
              <c:numCache>
                <c:formatCode>General</c:formatCode>
                <c:ptCount val="3"/>
                <c:pt idx="0">
                  <c:v>199925.52</c:v>
                </c:pt>
                <c:pt idx="1">
                  <c:v>104184.91</c:v>
                </c:pt>
                <c:pt idx="2">
                  <c:v>92382.31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10-44DD-9B89-783AE71C07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Monthly Sales Trend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39387455541793"/>
          <c:y val="0.14812779073733956"/>
          <c:w val="0.84406677887422621"/>
          <c:h val="0.66701860603837326"/>
        </c:manualLayout>
      </c:layout>
      <c:lineChart>
        <c:grouping val="standard"/>
        <c:varyColors val="0"/>
        <c:ser>
          <c:idx val="0"/>
          <c:order val="0"/>
          <c:tx>
            <c:strRef>
              <c:f>[2]Sheet1!$B$1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[2]Sheet1!$A$2:$A$13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[2]Sheet1!$B$2:$B$13</c:f>
              <c:numCache>
                <c:formatCode>General</c:formatCode>
                <c:ptCount val="12"/>
                <c:pt idx="0">
                  <c:v>26349.84</c:v>
                </c:pt>
                <c:pt idx="1">
                  <c:v>35463.019999999997</c:v>
                </c:pt>
                <c:pt idx="2">
                  <c:v>29273.57</c:v>
                </c:pt>
                <c:pt idx="3">
                  <c:v>37441.69</c:v>
                </c:pt>
                <c:pt idx="4">
                  <c:v>23273.81</c:v>
                </c:pt>
                <c:pt idx="5">
                  <c:v>30172.45</c:v>
                </c:pt>
                <c:pt idx="6">
                  <c:v>35816.78</c:v>
                </c:pt>
                <c:pt idx="7">
                  <c:v>51299.91</c:v>
                </c:pt>
                <c:pt idx="8">
                  <c:v>28877.19</c:v>
                </c:pt>
                <c:pt idx="9">
                  <c:v>31545.37</c:v>
                </c:pt>
                <c:pt idx="10">
                  <c:v>27698.62</c:v>
                </c:pt>
                <c:pt idx="11">
                  <c:v>39280.49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D-4AC6-9961-93FC133E8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3270800"/>
        <c:axId val="1379267680"/>
      </c:lineChart>
      <c:catAx>
        <c:axId val="139327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267680"/>
        <c:crosses val="autoZero"/>
        <c:auto val="1"/>
        <c:lblAlgn val="ctr"/>
        <c:lblOffset val="100"/>
        <c:noMultiLvlLbl val="0"/>
      </c:catAx>
      <c:valAx>
        <c:axId val="137926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27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chart" Target="../charts/chart1.xml"/><Relationship Id="rId5" Type="http://schemas.openxmlformats.org/officeDocument/2006/relationships/image" Target="../media/image5.jpeg"/><Relationship Id="rId10" Type="http://schemas.openxmlformats.org/officeDocument/2006/relationships/chart" Target="../charts/chart4.xml"/><Relationship Id="rId4" Type="http://schemas.openxmlformats.org/officeDocument/2006/relationships/image" Target="../media/image4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10886</xdr:rowOff>
    </xdr:from>
    <xdr:to>
      <xdr:col>20</xdr:col>
      <xdr:colOff>22860</xdr:colOff>
      <xdr:row>3</xdr:row>
      <xdr:rowOff>178526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0543E9D-E876-D1D5-AA3B-2C9A3E6B7B8F}"/>
            </a:ext>
          </a:extLst>
        </xdr:cNvPr>
        <xdr:cNvSpPr/>
      </xdr:nvSpPr>
      <xdr:spPr>
        <a:xfrm>
          <a:off x="0" y="10886"/>
          <a:ext cx="12225746" cy="72281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RETAIL SALES DASHBOARD                                                    </a:t>
          </a:r>
          <a:r>
            <a:rPr lang="en-US" sz="1400" b="1"/>
            <a:t>Turning</a:t>
          </a:r>
          <a:r>
            <a:rPr lang="en-US" sz="1400" b="1" baseline="0"/>
            <a:t> Data into better decisions</a:t>
          </a:r>
          <a:endParaRPr lang="en-US" sz="2400" b="1"/>
        </a:p>
      </xdr:txBody>
    </xdr:sp>
    <xdr:clientData/>
  </xdr:twoCellAnchor>
  <xdr:twoCellAnchor editAs="oneCell">
    <xdr:from>
      <xdr:col>0</xdr:col>
      <xdr:colOff>480060</xdr:colOff>
      <xdr:row>1</xdr:row>
      <xdr:rowOff>60429</xdr:rowOff>
    </xdr:from>
    <xdr:to>
      <xdr:col>1</xdr:col>
      <xdr:colOff>487680</xdr:colOff>
      <xdr:row>2</xdr:row>
      <xdr:rowOff>135921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9BD7B9-319D-00A9-7BF2-0D9900FE1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243309"/>
          <a:ext cx="617220" cy="258372"/>
        </a:xfrm>
        <a:prstGeom prst="roundRect">
          <a:avLst>
            <a:gd name="adj" fmla="val 4167"/>
          </a:avLst>
        </a:prstGeom>
        <a:solidFill>
          <a:srgbClr val="FFFFFF"/>
        </a:solidFill>
        <a:ln w="76200" cap="sq">
          <a:solidFill>
            <a:srgbClr val="EAEAEA"/>
          </a:solidFill>
          <a:miter lim="800000"/>
        </a:ln>
        <a:effectLst>
          <a:reflection blurRad="12700" stA="33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 contourW="6350">
          <a:bevelT h="38100"/>
          <a:contourClr>
            <a:srgbClr val="C0C0C0"/>
          </a:contourClr>
        </a:sp3d>
      </xdr:spPr>
    </xdr:pic>
    <xdr:clientData/>
  </xdr:twoCellAnchor>
  <xdr:twoCellAnchor>
    <xdr:from>
      <xdr:col>0</xdr:col>
      <xdr:colOff>106680</xdr:colOff>
      <xdr:row>6</xdr:row>
      <xdr:rowOff>15240</xdr:rowOff>
    </xdr:from>
    <xdr:to>
      <xdr:col>4</xdr:col>
      <xdr:colOff>15240</xdr:colOff>
      <xdr:row>10</xdr:row>
      <xdr:rowOff>144780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3D009A7-7699-A51D-FBD6-46AD84019D6B}"/>
            </a:ext>
          </a:extLst>
        </xdr:cNvPr>
        <xdr:cNvSpPr/>
      </xdr:nvSpPr>
      <xdr:spPr>
        <a:xfrm>
          <a:off x="106680" y="1112520"/>
          <a:ext cx="2346960" cy="86106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Total Sales </a:t>
          </a:r>
        </a:p>
        <a:p>
          <a:pPr algn="ctr"/>
          <a:r>
            <a:rPr lang="en-US" sz="1600" b="1"/>
            <a:t>$396,492.74</a:t>
          </a:r>
        </a:p>
      </xdr:txBody>
    </xdr:sp>
    <xdr:clientData/>
  </xdr:twoCellAnchor>
  <xdr:twoCellAnchor>
    <xdr:from>
      <xdr:col>4</xdr:col>
      <xdr:colOff>152400</xdr:colOff>
      <xdr:row>6</xdr:row>
      <xdr:rowOff>30480</xdr:rowOff>
    </xdr:from>
    <xdr:to>
      <xdr:col>8</xdr:col>
      <xdr:colOff>281940</xdr:colOff>
      <xdr:row>10</xdr:row>
      <xdr:rowOff>144780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ED52D6C-0430-49E7-A4CD-87F8004D5597}"/>
            </a:ext>
          </a:extLst>
        </xdr:cNvPr>
        <xdr:cNvSpPr/>
      </xdr:nvSpPr>
      <xdr:spPr>
        <a:xfrm>
          <a:off x="2590800" y="1127760"/>
          <a:ext cx="2567940" cy="8458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   Total Profit</a:t>
          </a:r>
        </a:p>
        <a:p>
          <a:pPr algn="ctr"/>
          <a:r>
            <a:rPr lang="en-US" sz="1600" b="1"/>
            <a:t>    $65,590.80</a:t>
          </a:r>
        </a:p>
      </xdr:txBody>
    </xdr:sp>
    <xdr:clientData/>
  </xdr:twoCellAnchor>
  <xdr:twoCellAnchor>
    <xdr:from>
      <xdr:col>8</xdr:col>
      <xdr:colOff>525780</xdr:colOff>
      <xdr:row>6</xdr:row>
      <xdr:rowOff>22860</xdr:rowOff>
    </xdr:from>
    <xdr:to>
      <xdr:col>13</xdr:col>
      <xdr:colOff>121920</xdr:colOff>
      <xdr:row>10</xdr:row>
      <xdr:rowOff>152400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B90D087-B3D6-889D-2168-8D5E5DF21204}"/>
            </a:ext>
          </a:extLst>
        </xdr:cNvPr>
        <xdr:cNvSpPr/>
      </xdr:nvSpPr>
      <xdr:spPr>
        <a:xfrm>
          <a:off x="5402580" y="1120140"/>
          <a:ext cx="2651760" cy="861060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Total Orders</a:t>
          </a:r>
        </a:p>
        <a:p>
          <a:pPr algn="ctr"/>
          <a:r>
            <a:rPr lang="en-US" sz="1600" b="1"/>
            <a:t>1,200</a:t>
          </a:r>
        </a:p>
      </xdr:txBody>
    </xdr:sp>
    <xdr:clientData/>
  </xdr:twoCellAnchor>
  <xdr:twoCellAnchor>
    <xdr:from>
      <xdr:col>13</xdr:col>
      <xdr:colOff>304800</xdr:colOff>
      <xdr:row>6</xdr:row>
      <xdr:rowOff>22860</xdr:rowOff>
    </xdr:from>
    <xdr:to>
      <xdr:col>17</xdr:col>
      <xdr:colOff>449580</xdr:colOff>
      <xdr:row>10</xdr:row>
      <xdr:rowOff>167640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2BB5650-BB9E-3BF5-5494-72E3B47E01EF}"/>
            </a:ext>
          </a:extLst>
        </xdr:cNvPr>
        <xdr:cNvSpPr/>
      </xdr:nvSpPr>
      <xdr:spPr>
        <a:xfrm>
          <a:off x="8237220" y="1120140"/>
          <a:ext cx="2583180" cy="8763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Profit</a:t>
          </a:r>
          <a:r>
            <a:rPr lang="en-US" sz="1600" b="1" baseline="0"/>
            <a:t> Margin</a:t>
          </a:r>
        </a:p>
        <a:p>
          <a:pPr algn="ctr"/>
          <a:r>
            <a:rPr lang="en-US" sz="1600" b="1" baseline="0"/>
            <a:t>16.5%</a:t>
          </a:r>
          <a:endParaRPr lang="en-US" sz="1600" b="1"/>
        </a:p>
      </xdr:txBody>
    </xdr:sp>
    <xdr:clientData/>
  </xdr:twoCellAnchor>
  <xdr:twoCellAnchor editAs="oneCell">
    <xdr:from>
      <xdr:col>0</xdr:col>
      <xdr:colOff>190500</xdr:colOff>
      <xdr:row>7</xdr:row>
      <xdr:rowOff>38100</xdr:rowOff>
    </xdr:from>
    <xdr:to>
      <xdr:col>1</xdr:col>
      <xdr:colOff>68581</xdr:colOff>
      <xdr:row>9</xdr:row>
      <xdr:rowOff>160021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C2DA81F-54CE-76E1-7E6F-9E01FE18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18260"/>
          <a:ext cx="487681" cy="487681"/>
        </a:xfrm>
        <a:prstGeom prst="rect">
          <a:avLst/>
        </a:prstGeom>
      </xdr:spPr>
    </xdr:pic>
    <xdr:clientData/>
  </xdr:twoCellAnchor>
  <xdr:twoCellAnchor editAs="oneCell">
    <xdr:from>
      <xdr:col>4</xdr:col>
      <xdr:colOff>284683</xdr:colOff>
      <xdr:row>7</xdr:row>
      <xdr:rowOff>53340</xdr:rowOff>
    </xdr:from>
    <xdr:to>
      <xdr:col>5</xdr:col>
      <xdr:colOff>334355</xdr:colOff>
      <xdr:row>9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2AE0D9B-B015-0F6D-9706-DC8B28BB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3083" y="1333500"/>
          <a:ext cx="659272" cy="426720"/>
        </a:xfrm>
        <a:prstGeom prst="rect">
          <a:avLst/>
        </a:prstGeom>
      </xdr:spPr>
    </xdr:pic>
    <xdr:clientData/>
  </xdr:twoCellAnchor>
  <xdr:twoCellAnchor editAs="oneCell">
    <xdr:from>
      <xdr:col>9</xdr:col>
      <xdr:colOff>60961</xdr:colOff>
      <xdr:row>7</xdr:row>
      <xdr:rowOff>22861</xdr:rowOff>
    </xdr:from>
    <xdr:to>
      <xdr:col>9</xdr:col>
      <xdr:colOff>556260</xdr:colOff>
      <xdr:row>9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8B5A405-FAE1-2091-6FDF-297401F60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7361" y="1303021"/>
          <a:ext cx="495299" cy="495299"/>
        </a:xfrm>
        <a:prstGeom prst="rect">
          <a:avLst/>
        </a:prstGeom>
      </xdr:spPr>
    </xdr:pic>
    <xdr:clientData/>
  </xdr:twoCellAnchor>
  <xdr:twoCellAnchor editAs="oneCell">
    <xdr:from>
      <xdr:col>13</xdr:col>
      <xdr:colOff>419100</xdr:colOff>
      <xdr:row>7</xdr:row>
      <xdr:rowOff>45720</xdr:rowOff>
    </xdr:from>
    <xdr:to>
      <xdr:col>14</xdr:col>
      <xdr:colOff>281940</xdr:colOff>
      <xdr:row>9</xdr:row>
      <xdr:rowOff>152400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83309F9-AD8C-D4D5-200A-8FB987F2A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1520" y="1325880"/>
          <a:ext cx="472440" cy="472440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11</xdr:row>
      <xdr:rowOff>129538</xdr:rowOff>
    </xdr:from>
    <xdr:to>
      <xdr:col>9</xdr:col>
      <xdr:colOff>370114</xdr:colOff>
      <xdr:row>31</xdr:row>
      <xdr:rowOff>174171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D985BCB-4697-4D58-8B65-0FC7A01FA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243417</xdr:colOff>
      <xdr:row>11</xdr:row>
      <xdr:rowOff>127000</xdr:rowOff>
    </xdr:from>
    <xdr:to>
      <xdr:col>18</xdr:col>
      <xdr:colOff>500743</xdr:colOff>
      <xdr:row>31</xdr:row>
      <xdr:rowOff>169333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FE15F4F-0CC8-424E-89C2-C782F9F2F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239486</xdr:colOff>
      <xdr:row>33</xdr:row>
      <xdr:rowOff>76198</xdr:rowOff>
    </xdr:from>
    <xdr:to>
      <xdr:col>9</xdr:col>
      <xdr:colOff>391886</xdr:colOff>
      <xdr:row>50</xdr:row>
      <xdr:rowOff>185056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5E3A6EA-55C2-4CF7-A669-D2CD49C03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152399</xdr:colOff>
      <xdr:row>52</xdr:row>
      <xdr:rowOff>54429</xdr:rowOff>
    </xdr:from>
    <xdr:to>
      <xdr:col>19</xdr:col>
      <xdr:colOff>522514</xdr:colOff>
      <xdr:row>60</xdr:row>
      <xdr:rowOff>10885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434BC66-8B26-847B-43F0-68046847CCCF}"/>
            </a:ext>
          </a:extLst>
        </xdr:cNvPr>
        <xdr:cNvSpPr/>
      </xdr:nvSpPr>
      <xdr:spPr>
        <a:xfrm>
          <a:off x="152399" y="9677400"/>
          <a:ext cx="11963401" cy="1436914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lvl="0" algn="l"/>
          <a:r>
            <a:rPr lang="en-US" sz="2000" b="1" baseline="0"/>
            <a:t>                                                                                      . </a:t>
          </a:r>
          <a:r>
            <a:rPr lang="en-US" sz="1600" b="1" baseline="0"/>
            <a:t>East had the lowest total sales among all regions</a:t>
          </a:r>
        </a:p>
        <a:p>
          <a:pPr lvl="0" algn="l"/>
          <a:r>
            <a:rPr lang="en-US" sz="1600" b="1" baseline="0"/>
            <a:t>                                                                                                            . Technology generated the highest category sales</a:t>
          </a:r>
        </a:p>
        <a:p>
          <a:pPr lvl="0" algn="ctr"/>
          <a:r>
            <a:rPr lang="en-US" sz="1600" b="1" baseline="0"/>
            <a:t>                                                   . Consumer was highest-sales customer segment</a:t>
          </a:r>
        </a:p>
        <a:p>
          <a:pPr lvl="0" algn="ctr"/>
          <a:r>
            <a:rPr lang="en-US" sz="1600" b="1" baseline="0"/>
            <a:t>                        . Overall Profit Margin was 16.5%</a:t>
          </a:r>
        </a:p>
        <a:p>
          <a:pPr lvl="0" algn="ctr"/>
          <a:endParaRPr lang="en-US" sz="1600" b="1" baseline="0"/>
        </a:p>
      </xdr:txBody>
    </xdr:sp>
    <xdr:clientData/>
  </xdr:twoCellAnchor>
  <xdr:twoCellAnchor>
    <xdr:from>
      <xdr:col>6</xdr:col>
      <xdr:colOff>446314</xdr:colOff>
      <xdr:row>53</xdr:row>
      <xdr:rowOff>10885</xdr:rowOff>
    </xdr:from>
    <xdr:to>
      <xdr:col>6</xdr:col>
      <xdr:colOff>457200</xdr:colOff>
      <xdr:row>59</xdr:row>
      <xdr:rowOff>10886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F55EE47-9316-90F8-E059-32368693CFDF}"/>
            </a:ext>
          </a:extLst>
        </xdr:cNvPr>
        <xdr:cNvCxnSpPr/>
      </xdr:nvCxnSpPr>
      <xdr:spPr>
        <a:xfrm flipH="1">
          <a:off x="4103914" y="9818914"/>
          <a:ext cx="10886" cy="11103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283029</xdr:colOff>
      <xdr:row>53</xdr:row>
      <xdr:rowOff>97971</xdr:rowOff>
    </xdr:from>
    <xdr:to>
      <xdr:col>6</xdr:col>
      <xdr:colOff>185057</xdr:colOff>
      <xdr:row>58</xdr:row>
      <xdr:rowOff>65313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488221AD-0173-55BD-4FDD-F7D437A133FB}"/>
            </a:ext>
          </a:extLst>
        </xdr:cNvPr>
        <xdr:cNvSpPr/>
      </xdr:nvSpPr>
      <xdr:spPr>
        <a:xfrm>
          <a:off x="283029" y="9906000"/>
          <a:ext cx="3559628" cy="89262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Key</a:t>
          </a:r>
          <a:r>
            <a:rPr lang="en-US" sz="2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Business Insights</a:t>
          </a:r>
          <a:endParaRPr lang="en-US" sz="2000" b="1"/>
        </a:p>
      </xdr:txBody>
    </xdr:sp>
    <xdr:clientData/>
  </xdr:twoCellAnchor>
  <xdr:twoCellAnchor editAs="oneCell">
    <xdr:from>
      <xdr:col>0</xdr:col>
      <xdr:colOff>348345</xdr:colOff>
      <xdr:row>54</xdr:row>
      <xdr:rowOff>21772</xdr:rowOff>
    </xdr:from>
    <xdr:to>
      <xdr:col>1</xdr:col>
      <xdr:colOff>315687</xdr:colOff>
      <xdr:row>57</xdr:row>
      <xdr:rowOff>43543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8C6A97A-F335-96D2-F84B-C8D681BAB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345" y="10014858"/>
          <a:ext cx="576942" cy="576942"/>
        </a:xfrm>
        <a:prstGeom prst="rect">
          <a:avLst/>
        </a:prstGeom>
      </xdr:spPr>
    </xdr:pic>
    <xdr:clientData/>
  </xdr:twoCellAnchor>
  <xdr:twoCellAnchor>
    <xdr:from>
      <xdr:col>10</xdr:col>
      <xdr:colOff>250371</xdr:colOff>
      <xdr:row>33</xdr:row>
      <xdr:rowOff>43543</xdr:rowOff>
    </xdr:from>
    <xdr:to>
      <xdr:col>18</xdr:col>
      <xdr:colOff>544286</xdr:colOff>
      <xdr:row>50</xdr:row>
      <xdr:rowOff>174172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7D41458D-A388-474C-8319-8C69A62CB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8FF585C8F0B4E93/Documents/Book1.xlsx" TargetMode="External"/><Relationship Id="rId1" Type="http://schemas.openxmlformats.org/officeDocument/2006/relationships/externalLinkPath" Target="https://d.docs.live.net/08FF585C8F0B4E93/Documents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8FF585C8F0B4E93/Documents/Book9.xlsx" TargetMode="External"/><Relationship Id="rId1" Type="http://schemas.openxmlformats.org/officeDocument/2006/relationships/externalLinkPath" Target="https://d.docs.live.net/08FF585C8F0B4E93/Documents/Book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KPIs"/>
      <sheetName val="Q1"/>
      <sheetName val="Q2"/>
      <sheetName val="Q3"/>
      <sheetName val="Q4"/>
      <sheetName val="Q5"/>
    </sheetNames>
    <sheetDataSet>
      <sheetData sheetId="0"/>
      <sheetData sheetId="1"/>
      <sheetData sheetId="2"/>
      <sheetData sheetId="3"/>
      <sheetData sheetId="4"/>
      <sheetData sheetId="5">
        <row r="14">
          <cell r="G14" t="str">
            <v>Sales</v>
          </cell>
        </row>
        <row r="15">
          <cell r="F15" t="str">
            <v>Consumer</v>
          </cell>
          <cell r="G15">
            <v>199925.52</v>
          </cell>
        </row>
        <row r="16">
          <cell r="F16" t="str">
            <v>Corporate</v>
          </cell>
          <cell r="G16">
            <v>104184.91</v>
          </cell>
        </row>
        <row r="17">
          <cell r="F17" t="str">
            <v>Small Business</v>
          </cell>
          <cell r="G17">
            <v>92382.31</v>
          </cell>
        </row>
      </sheetData>
      <sheetData sheetId="6">
        <row r="13">
          <cell r="H13" t="str">
            <v>Sales</v>
          </cell>
        </row>
        <row r="14">
          <cell r="G14" t="str">
            <v>Technology</v>
          </cell>
          <cell r="H14">
            <v>266544.46000000002</v>
          </cell>
        </row>
        <row r="15">
          <cell r="G15" t="str">
            <v>Furniture</v>
          </cell>
          <cell r="H15">
            <v>105010.92</v>
          </cell>
        </row>
        <row r="16">
          <cell r="G16" t="str">
            <v>Lifestyle</v>
          </cell>
          <cell r="H16">
            <v>17131.939999999999</v>
          </cell>
        </row>
        <row r="17">
          <cell r="G17" t="str">
            <v>Office Supplies</v>
          </cell>
          <cell r="H17">
            <v>7805.42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Sales</v>
          </cell>
        </row>
        <row r="2">
          <cell r="A2" t="str">
            <v>January</v>
          </cell>
          <cell r="B2">
            <v>26349.84</v>
          </cell>
        </row>
        <row r="3">
          <cell r="A3" t="str">
            <v>February</v>
          </cell>
          <cell r="B3">
            <v>35463.019999999997</v>
          </cell>
        </row>
        <row r="4">
          <cell r="A4" t="str">
            <v>March</v>
          </cell>
          <cell r="B4">
            <v>29273.57</v>
          </cell>
        </row>
        <row r="5">
          <cell r="A5" t="str">
            <v>April</v>
          </cell>
          <cell r="B5">
            <v>37441.69</v>
          </cell>
        </row>
        <row r="6">
          <cell r="A6" t="str">
            <v>May</v>
          </cell>
          <cell r="B6">
            <v>23273.81</v>
          </cell>
        </row>
        <row r="7">
          <cell r="A7" t="str">
            <v>June</v>
          </cell>
          <cell r="B7">
            <v>30172.45</v>
          </cell>
        </row>
        <row r="8">
          <cell r="A8" t="str">
            <v>July</v>
          </cell>
          <cell r="B8">
            <v>35816.78</v>
          </cell>
        </row>
        <row r="9">
          <cell r="A9" t="str">
            <v>August</v>
          </cell>
          <cell r="B9">
            <v>51299.91</v>
          </cell>
        </row>
        <row r="10">
          <cell r="A10" t="str">
            <v>September</v>
          </cell>
          <cell r="B10">
            <v>28877.19</v>
          </cell>
        </row>
        <row r="11">
          <cell r="A11" t="str">
            <v>October</v>
          </cell>
          <cell r="B11">
            <v>31545.37</v>
          </cell>
        </row>
        <row r="12">
          <cell r="A12" t="str">
            <v>November</v>
          </cell>
          <cell r="B12">
            <v>27698.62</v>
          </cell>
        </row>
        <row r="13">
          <cell r="A13" t="str">
            <v>December</v>
          </cell>
          <cell r="B13">
            <v>39280.49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5.922013773146" createdVersion="8" refreshedVersion="8" minRefreshableVersion="3" recordCount="1200" xr:uid="{7B3FCA83-A030-4EA4-9D1B-656C83B3E807}">
  <cacheSource type="worksheet">
    <worksheetSource ref="A1:L1201" sheet="Data"/>
  </cacheSource>
  <cacheFields count="13">
    <cacheField name="Order_ID" numFmtId="0">
      <sharedItems count="1200">
        <s v="ORD00513"/>
        <s v="ORD00054"/>
        <s v="ORD00159"/>
        <s v="ORD00321"/>
        <s v="ORD00874"/>
        <s v="ORD00527"/>
        <s v="ORD00939"/>
        <s v="ORD00713"/>
        <s v="ORD00786"/>
        <s v="ORD00650"/>
        <s v="ORD00167"/>
        <s v="ORD00365"/>
        <s v="ORD00302"/>
        <s v="ORD00322"/>
        <s v="ORD00603"/>
        <s v="ORD00027"/>
        <s v="ORD00297"/>
        <s v="ORD00114"/>
        <s v="ORD00175"/>
        <s v="ORD01199"/>
        <s v="ORD00682"/>
        <s v="ORD01032"/>
        <s v="ORD00055"/>
        <s v="ORD00157"/>
        <s v="ORD00142"/>
        <s v="ORD00686"/>
        <s v="ORD00766"/>
        <s v="ORD00123"/>
        <s v="ORD01033"/>
        <s v="ORD01048"/>
        <s v="ORD00492"/>
        <s v="ORD00039"/>
        <s v="ORD01054"/>
        <s v="ORD00501"/>
        <s v="ORD00471"/>
        <s v="ORD00172"/>
        <s v="ORD00139"/>
        <s v="ORD00688"/>
        <s v="ORD00671"/>
        <s v="ORD00295"/>
        <s v="ORD00144"/>
        <s v="ORD00561"/>
        <s v="ORD00494"/>
        <s v="ORD00388"/>
        <s v="ORD00762"/>
        <s v="ORD00206"/>
        <s v="ORD01099"/>
        <s v="ORD00554"/>
        <s v="ORD00189"/>
        <s v="ORD00544"/>
        <s v="ORD00918"/>
        <s v="ORD00012"/>
        <s v="ORD01078"/>
        <s v="ORD00466"/>
        <s v="ORD00984"/>
        <s v="ORD00040"/>
        <s v="ORD00484"/>
        <s v="ORD00354"/>
        <s v="ORD00541"/>
        <s v="ORD01174"/>
        <s v="ORD00584"/>
        <s v="ORD00343"/>
        <s v="ORD00029"/>
        <s v="ORD01057"/>
        <s v="ORD00478"/>
        <s v="ORD01098"/>
        <s v="ORD01167"/>
        <s v="ORD00418"/>
        <s v="ORD00453"/>
        <s v="ORD00805"/>
        <s v="ORD00875"/>
        <s v="ORD00594"/>
        <s v="ORD00728"/>
        <s v="ORD01109"/>
        <s v="ORD01028"/>
        <s v="ORD00783"/>
        <s v="ORD00286"/>
        <s v="ORD01129"/>
        <s v="ORD00718"/>
        <s v="ORD00921"/>
        <s v="ORD00615"/>
        <s v="ORD00847"/>
        <s v="ORD00630"/>
        <s v="ORD00355"/>
        <s v="ORD00576"/>
        <s v="ORD00275"/>
        <s v="ORD00428"/>
        <s v="ORD00488"/>
        <s v="ORD01023"/>
        <s v="ORD00132"/>
        <s v="ORD00710"/>
        <s v="ORD00417"/>
        <s v="ORD00279"/>
        <s v="ORD00959"/>
        <s v="ORD00290"/>
        <s v="ORD01115"/>
        <s v="ORD01082"/>
        <s v="ORD00806"/>
        <s v="ORD00963"/>
        <s v="ORD01195"/>
        <s v="ORD00828"/>
        <s v="ORD00941"/>
        <s v="ORD01085"/>
        <s v="ORD00967"/>
        <s v="ORD00467"/>
        <s v="ORD00204"/>
        <s v="ORD00442"/>
        <s v="ORD00263"/>
        <s v="ORD01148"/>
        <s v="ORD00230"/>
        <s v="ORD00067"/>
        <s v="ORD01185"/>
        <s v="ORD00146"/>
        <s v="ORD00239"/>
        <s v="ORD00011"/>
        <s v="ORD00526"/>
        <s v="ORD00174"/>
        <s v="ORD00525"/>
        <s v="ORD00925"/>
        <s v="ORD01086"/>
        <s v="ORD00436"/>
        <s v="ORD00748"/>
        <s v="ORD00084"/>
        <s v="ORD00197"/>
        <s v="ORD00402"/>
        <s v="ORD00815"/>
        <s v="ORD00720"/>
        <s v="ORD00924"/>
        <s v="ORD00679"/>
        <s v="ORD00201"/>
        <s v="ORD00256"/>
        <s v="ORD00338"/>
        <s v="ORD00021"/>
        <s v="ORD01155"/>
        <s v="ORD00907"/>
        <s v="ORD00010"/>
        <s v="ORD00255"/>
        <s v="ORD00674"/>
        <s v="ORD00727"/>
        <s v="ORD00995"/>
        <s v="ORD00613"/>
        <s v="ORD00579"/>
        <s v="ORD00377"/>
        <s v="ORD01059"/>
        <s v="ORD00673"/>
        <s v="ORD00549"/>
        <s v="ORD00435"/>
        <s v="ORD00252"/>
        <s v="ORD00912"/>
        <s v="ORD00608"/>
        <s v="ORD01119"/>
        <s v="ORD00361"/>
        <s v="ORD01022"/>
        <s v="ORD00946"/>
        <s v="ORD01008"/>
        <s v="ORD00760"/>
        <s v="ORD00244"/>
        <s v="ORD00639"/>
        <s v="ORD00203"/>
        <s v="ORD00482"/>
        <s v="ORD00097"/>
        <s v="ORD00590"/>
        <s v="ORD00979"/>
        <s v="ORD00060"/>
        <s v="ORD01102"/>
        <s v="ORD00770"/>
        <s v="ORD01043"/>
        <s v="ORD01117"/>
        <s v="ORD00281"/>
        <s v="ORD01200"/>
        <s v="ORD01017"/>
        <s v="ORD01024"/>
        <s v="ORD01039"/>
        <s v="ORD00991"/>
        <s v="ORD00990"/>
        <s v="ORD00285"/>
        <s v="ORD00520"/>
        <s v="ORD00788"/>
        <s v="ORD01179"/>
        <s v="ORD00774"/>
        <s v="ORD00223"/>
        <s v="ORD01065"/>
        <s v="ORD01150"/>
        <s v="ORD00524"/>
        <s v="ORD00298"/>
        <s v="ORD00328"/>
        <s v="ORD00155"/>
        <s v="ORD00711"/>
        <s v="ORD00977"/>
        <s v="ORD00068"/>
        <s v="ORD00816"/>
        <s v="ORD00627"/>
        <s v="ORD01044"/>
        <s v="ORD00694"/>
        <s v="ORD01194"/>
        <s v="ORD00970"/>
        <s v="ORD00505"/>
        <s v="ORD00082"/>
        <s v="ORD00363"/>
        <s v="ORD00552"/>
        <s v="ORD00827"/>
        <s v="ORD01153"/>
        <s v="ORD01111"/>
        <s v="ORD00559"/>
        <s v="ORD01141"/>
        <s v="ORD00284"/>
        <s v="ORD00151"/>
        <s v="ORD01181"/>
        <s v="ORD00604"/>
        <s v="ORD00876"/>
        <s v="ORD00148"/>
        <s v="ORD00834"/>
        <s v="ORD00083"/>
        <s v="ORD00813"/>
        <s v="ORD00768"/>
        <s v="ORD01080"/>
        <s v="ORD00037"/>
        <s v="ORD00171"/>
        <s v="ORD00303"/>
        <s v="ORD00550"/>
        <s v="ORD00699"/>
        <s v="ORD00885"/>
        <s v="ORD00514"/>
        <s v="ORD00433"/>
        <s v="ORD00632"/>
        <s v="ORD00893"/>
        <s v="ORD01182"/>
        <s v="ORD01010"/>
        <s v="ORD00352"/>
        <s v="ORD00903"/>
        <s v="ORD00392"/>
        <s v="ORD00160"/>
        <s v="ORD00942"/>
        <s v="ORD00215"/>
        <s v="ORD01035"/>
        <s v="ORD00262"/>
        <s v="ORD00043"/>
        <s v="ORD00207"/>
        <s v="ORD01081"/>
        <s v="ORD00648"/>
        <s v="ORD01069"/>
        <s v="ORD00264"/>
        <s v="ORD00390"/>
        <s v="ORD01116"/>
        <s v="ORD00069"/>
        <s v="ORD00777"/>
        <s v="ORD00562"/>
        <s v="ORD00213"/>
        <s v="ORD01120"/>
        <s v="ORD00431"/>
        <s v="ORD01196"/>
        <s v="ORD01178"/>
        <s v="ORD00957"/>
        <s v="ORD00053"/>
        <s v="ORD00620"/>
        <s v="ORD00140"/>
        <s v="ORD00709"/>
        <s v="ORD00006"/>
        <s v="ORD00832"/>
        <s v="ORD01090"/>
        <s v="ORD00894"/>
        <s v="ORD00306"/>
        <s v="ORD00220"/>
        <s v="ORD01103"/>
        <s v="ORD00334"/>
        <s v="ORD00518"/>
        <s v="ORD00329"/>
        <s v="ORD01158"/>
        <s v="ORD00605"/>
        <s v="ORD00045"/>
        <s v="ORD00836"/>
        <s v="ORD00850"/>
        <s v="ORD00472"/>
        <s v="ORD01142"/>
        <s v="ORD00818"/>
        <s v="ORD01040"/>
        <s v="ORD00475"/>
        <s v="ORD00669"/>
        <s v="ORD00371"/>
        <s v="ORD01074"/>
        <s v="ORD00724"/>
        <s v="ORD01056"/>
        <s v="ORD00869"/>
        <s v="ORD00765"/>
        <s v="ORD00497"/>
        <s v="ORD00744"/>
        <s v="ORD00840"/>
        <s v="ORD00468"/>
        <s v="ORD01012"/>
        <s v="ORD00370"/>
        <s v="ORD00858"/>
        <s v="ORD01125"/>
        <s v="ORD00032"/>
        <s v="ORD00573"/>
        <s v="ORD00864"/>
        <s v="ORD00543"/>
        <s v="ORD01186"/>
        <s v="ORD00038"/>
        <s v="ORD00309"/>
        <s v="ORD00867"/>
        <s v="ORD00381"/>
        <s v="ORD00968"/>
        <s v="ORD00837"/>
        <s v="ORD00044"/>
        <s v="ORD01011"/>
        <s v="ORD00697"/>
        <s v="ORD00368"/>
        <s v="ORD00776"/>
        <s v="ORD00747"/>
        <s v="ORD00404"/>
        <s v="ORD00568"/>
        <s v="ORD00564"/>
        <s v="ORD00382"/>
        <s v="ORD00909"/>
        <s v="ORD01139"/>
        <s v="ORD00519"/>
        <s v="ORD00267"/>
        <s v="ORD01107"/>
        <s v="ORD00023"/>
        <s v="ORD00882"/>
        <s v="ORD00017"/>
        <s v="ORD00530"/>
        <s v="ORD00231"/>
        <s v="ORD00161"/>
        <s v="ORD00109"/>
        <s v="ORD00413"/>
        <s v="ORD00001"/>
        <s v="ORD00253"/>
        <s v="ORD00771"/>
        <s v="ORD00369"/>
        <s v="ORD00556"/>
        <s v="ORD00364"/>
        <s v="ORD01073"/>
        <s v="ORD00205"/>
        <s v="ORD00198"/>
        <s v="ORD00929"/>
        <s v="ORD01007"/>
        <s v="ORD00851"/>
        <s v="ORD01163"/>
        <s v="ORD01171"/>
        <s v="ORD00637"/>
        <s v="ORD00516"/>
        <s v="ORD01061"/>
        <s v="ORD00936"/>
        <s v="ORD00533"/>
        <s v="ORD00165"/>
        <s v="ORD00542"/>
        <s v="ORD00666"/>
        <s v="ORD00305"/>
        <s v="ORD00803"/>
        <s v="ORD00350"/>
        <s v="ORD00538"/>
        <s v="ORD00423"/>
        <s v="ORD01001"/>
        <s v="ORD00313"/>
        <s v="ORD01041"/>
        <s v="ORD00583"/>
        <s v="ORD00553"/>
        <s v="ORD00240"/>
        <s v="ORD00784"/>
        <s v="ORD00833"/>
        <s v="ORD00446"/>
        <s v="ORD01018"/>
        <s v="ORD00243"/>
        <s v="ORD00347"/>
        <s v="ORD01013"/>
        <s v="ORD00949"/>
        <s v="ORD00500"/>
        <s v="ORD00938"/>
        <s v="ORD00481"/>
        <s v="ORD00072"/>
        <s v="ORD00424"/>
        <s v="ORD01157"/>
        <s v="ORD00980"/>
        <s v="ORD00106"/>
        <s v="ORD00814"/>
        <s v="ORD01144"/>
        <s v="ORD00327"/>
        <s v="ORD00877"/>
        <s v="ORD00854"/>
        <s v="ORD00238"/>
        <s v="ORD00798"/>
        <s v="ORD00502"/>
        <s v="ORD00086"/>
        <s v="ORD01005"/>
        <s v="ORD00528"/>
        <s v="ORD01192"/>
        <s v="ORD00506"/>
        <s v="ORD00141"/>
        <s v="ORD00460"/>
        <s v="ORD00075"/>
        <s v="ORD00291"/>
        <s v="ORD00152"/>
        <s v="ORD00209"/>
        <s v="ORD01060"/>
        <s v="ORD00391"/>
        <s v="ORD00988"/>
        <s v="ORD00888"/>
        <s v="ORD00626"/>
        <s v="ORD01124"/>
        <s v="ORD00153"/>
        <s v="ORD01091"/>
        <s v="ORD00989"/>
        <s v="ORD00651"/>
        <s v="ORD00662"/>
        <s v="ORD00015"/>
        <s v="ORD01133"/>
        <s v="ORD00066"/>
        <s v="ORD00588"/>
        <s v="ORD00049"/>
        <s v="ORD00036"/>
        <s v="ORD00779"/>
        <s v="ORD00105"/>
        <s v="ORD00780"/>
        <s v="ORD00560"/>
        <s v="ORD00778"/>
        <s v="ORD00667"/>
        <s v="ORD00871"/>
        <s v="ORD00173"/>
        <s v="ORD00899"/>
        <s v="ORD00629"/>
        <s v="ORD01020"/>
        <s v="ORD00706"/>
        <s v="ORD00447"/>
        <s v="ORD00340"/>
        <s v="ORD00103"/>
        <s v="ORD01006"/>
        <s v="ORD00916"/>
        <s v="ORD00379"/>
        <s v="ORD00582"/>
        <s v="ORD00887"/>
        <s v="ORD00133"/>
        <s v="ORD00598"/>
        <s v="ORD00193"/>
        <s v="ORD00631"/>
        <s v="ORD00078"/>
        <s v="ORD00018"/>
        <s v="ORD00496"/>
        <s v="ORD00529"/>
        <s v="ORD00454"/>
        <s v="ORD00642"/>
        <s v="ORD00337"/>
        <s v="ORD01180"/>
        <s v="ORD01014"/>
        <s v="ORD00081"/>
        <s v="ORD00619"/>
        <s v="ORD01193"/>
        <s v="ORD00485"/>
        <s v="ORD00591"/>
        <s v="ORD00182"/>
        <s v="ORD00826"/>
        <s v="ORD01105"/>
        <s v="ORD01135"/>
        <s v="ORD00800"/>
        <s v="ORD00664"/>
        <s v="ORD00870"/>
        <s v="ORD00224"/>
        <s v="ORD00722"/>
        <s v="ORD00384"/>
        <s v="ORD01172"/>
        <s v="ORD00077"/>
        <s v="ORD00196"/>
        <s v="ORD00401"/>
        <s v="ORD01070"/>
        <s v="ORD00185"/>
        <s v="ORD00960"/>
        <s v="ORD01042"/>
        <s v="ORD00184"/>
        <s v="ORD00242"/>
        <s v="ORD01147"/>
        <s v="ORD00917"/>
        <s v="ORD00416"/>
        <s v="ORD00225"/>
        <s v="ORD00754"/>
        <s v="ORD00111"/>
        <s v="ORD00940"/>
        <s v="ORD00624"/>
        <s v="ORD01164"/>
        <s v="ORD00178"/>
        <s v="ORD00746"/>
        <s v="ORD00047"/>
        <s v="ORD00987"/>
        <s v="ORD00729"/>
        <s v="ORD00856"/>
        <s v="ORD00781"/>
        <s v="ORD01084"/>
        <s v="ORD00236"/>
        <s v="ORD00020"/>
        <s v="ORD01166"/>
        <s v="ORD00823"/>
        <s v="ORD00448"/>
        <s v="ORD00670"/>
        <s v="ORD00397"/>
        <s v="ORD00961"/>
        <s v="ORD00981"/>
        <s v="ORD00348"/>
        <s v="ORD00758"/>
        <s v="ORD00489"/>
        <s v="ORD00119"/>
        <s v="ORD01188"/>
        <s v="ORD00170"/>
        <s v="ORD00902"/>
        <s v="ORD00208"/>
        <s v="ORD00332"/>
        <s v="ORD00997"/>
        <s v="ORD00723"/>
        <s v="ORD00799"/>
        <s v="ORD00493"/>
        <s v="ORD00922"/>
        <s v="ORD00399"/>
        <s v="ORD00593"/>
        <s v="ORD00030"/>
        <s v="ORD00128"/>
        <s v="ORD00695"/>
        <s v="ORD01112"/>
        <s v="ORD00101"/>
        <s v="ORD00117"/>
        <s v="ORD00862"/>
        <s v="ORD00801"/>
        <s v="ORD00791"/>
        <s v="ORD00210"/>
        <s v="ORD01004"/>
        <s v="ORD00915"/>
        <s v="ORD00025"/>
        <s v="ORD00649"/>
        <s v="ORD00714"/>
        <s v="ORD00351"/>
        <s v="ORD00734"/>
        <s v="ORD00319"/>
        <s v="ORD00007"/>
        <s v="ORD00217"/>
        <s v="ORD00844"/>
        <s v="ORD01097"/>
        <s v="ORD00438"/>
        <s v="ORD00292"/>
        <s v="ORD00735"/>
        <s v="ORD00445"/>
        <s v="ORD00268"/>
        <s v="ORD00437"/>
        <s v="ORD01093"/>
        <s v="ORD00952"/>
        <s v="ORD00890"/>
        <s v="ORD00434"/>
        <s v="ORD00891"/>
        <s v="ORD01165"/>
        <s v="ORD00063"/>
        <s v="ORD00563"/>
        <s v="ORD00969"/>
        <s v="ORD00574"/>
        <s v="ORD00696"/>
        <s v="ORD00636"/>
        <s v="ORD01026"/>
        <s v="ORD00316"/>
        <s v="ORD00852"/>
        <s v="ORD00317"/>
        <s v="ORD00222"/>
        <s v="ORD00126"/>
        <s v="ORD00033"/>
        <s v="ORD00994"/>
        <s v="ORD00421"/>
        <s v="ORD01067"/>
        <s v="ORD00277"/>
        <s v="ORD00051"/>
        <s v="ORD00308"/>
        <s v="ORD00644"/>
        <s v="ORD00455"/>
        <s v="ORD00136"/>
        <s v="ORD01170"/>
        <s v="ORD00534"/>
        <s v="ORD00810"/>
        <s v="ORD00789"/>
        <s v="ORD00751"/>
        <s v="ORD00759"/>
        <s v="ORD00732"/>
        <s v="ORD00092"/>
        <s v="ORD00705"/>
        <s v="ORD01161"/>
        <s v="ORD00221"/>
        <s v="ORD01162"/>
        <s v="ORD00976"/>
        <s v="ORD00341"/>
        <s v="ORD00700"/>
        <s v="ORD00041"/>
        <s v="ORD00483"/>
        <s v="ORD00234"/>
        <s v="ORD01156"/>
        <s v="ORD00895"/>
        <s v="ORD00387"/>
        <s v="ORD00558"/>
        <s v="ORD00199"/>
        <s v="ORD01154"/>
        <s v="ORD00614"/>
        <s v="ORD00098"/>
        <s v="ORD00216"/>
        <s v="ORD00398"/>
        <s v="ORD00270"/>
        <s v="ORD00065"/>
        <s v="ORD00886"/>
        <s v="ORD00269"/>
        <s v="ORD00898"/>
        <s v="ORD00596"/>
        <s v="ORD00218"/>
        <s v="ORD00587"/>
        <s v="ORD00657"/>
        <s v="ORD00498"/>
        <s v="ORD00118"/>
        <s v="ORD00342"/>
        <s v="ORD00420"/>
        <s v="ORD00919"/>
        <s v="ORD00812"/>
        <s v="ORD00884"/>
        <s v="ORD00634"/>
        <s v="ORD00191"/>
        <s v="ORD01127"/>
        <s v="ORD00731"/>
        <s v="ORD00312"/>
        <s v="ORD00607"/>
        <s v="ORD00515"/>
        <s v="ORD00841"/>
        <s v="ORD00658"/>
        <s v="ORD00093"/>
        <s v="ORD00465"/>
        <s v="ORD00606"/>
        <s v="ORD00676"/>
        <s v="ORD00708"/>
        <s v="ORD00684"/>
        <s v="ORD00187"/>
        <s v="ORD00764"/>
        <s v="ORD00052"/>
        <s v="ORD00951"/>
        <s v="ORD01114"/>
        <s v="ORD00276"/>
        <s v="ORD00130"/>
        <s v="ORD00362"/>
        <s v="ORD00690"/>
        <s v="ORD00831"/>
        <s v="ORD01168"/>
        <s v="ORD00376"/>
        <s v="ORD01123"/>
        <s v="ORD00586"/>
        <s v="ORD01047"/>
        <s v="ORD01160"/>
        <s v="ORD00259"/>
        <s v="ORD00646"/>
        <s v="ORD00712"/>
        <s v="ORD00677"/>
        <s v="ORD00480"/>
        <s v="ORD00059"/>
        <s v="ORD00740"/>
        <s v="ORD01104"/>
        <s v="ORD00578"/>
        <s v="ORD01184"/>
        <s v="ORD00745"/>
        <s v="ORD01030"/>
        <s v="ORD01019"/>
        <s v="ORD00948"/>
        <s v="ORD00585"/>
        <s v="ORD00056"/>
        <s v="ORD00108"/>
        <s v="ORD00790"/>
        <s v="ORD00345"/>
        <s v="ORD00797"/>
        <s v="ORD00802"/>
        <s v="ORD00358"/>
        <s v="ORD00824"/>
        <s v="ORD00633"/>
        <s v="ORD01034"/>
        <s v="ORD00795"/>
        <s v="ORD01138"/>
        <s v="ORD00861"/>
        <s v="ORD00752"/>
        <s v="ORD00571"/>
        <s v="ORD00978"/>
        <s v="ORD00769"/>
        <s v="ORD00617"/>
        <s v="ORD00457"/>
        <s v="ORD00763"/>
        <s v="ORD00785"/>
        <s v="ORD00372"/>
        <s v="ORD01095"/>
        <s v="ORD00878"/>
        <s v="ORD00839"/>
        <s v="ORD00440"/>
        <s v="ORD01036"/>
        <s v="ORD00389"/>
        <s v="ORD00730"/>
        <s v="ORD00753"/>
        <s v="ORD00868"/>
        <s v="ORD00451"/>
        <s v="ORD00400"/>
        <s v="ORD00162"/>
        <s v="ORD00410"/>
        <s v="ORD00296"/>
        <s v="ORD00283"/>
        <s v="ORD00569"/>
        <s v="ORD00945"/>
        <s v="ORD00194"/>
        <s v="ORD00958"/>
        <s v="ORD00280"/>
        <s v="ORD00830"/>
        <s v="ORD00473"/>
        <s v="ORD00380"/>
        <s v="ORD00176"/>
        <s v="ORD00245"/>
        <s v="ORD00499"/>
        <s v="ORD00233"/>
        <s v="ORD00719"/>
        <s v="ORD00158"/>
        <s v="ORD00905"/>
        <s v="ORD01079"/>
        <s v="ORD00331"/>
        <s v="ORD01145"/>
        <s v="ORD00521"/>
        <s v="ORD00271"/>
        <s v="ORD00479"/>
        <s v="ORD00147"/>
        <s v="ORD00458"/>
        <s v="ORD00229"/>
        <s v="ORD00707"/>
        <s v="ORD00962"/>
        <s v="ORD00359"/>
        <s v="ORD00164"/>
        <s v="ORD00866"/>
        <s v="ORD00923"/>
        <s v="ORD00819"/>
        <s v="ORD00681"/>
        <s v="ORD00974"/>
        <s v="ORD00137"/>
        <s v="ORD00910"/>
        <s v="ORD01064"/>
        <s v="ORD00294"/>
        <s v="ORD00366"/>
        <s v="ORD00973"/>
        <s v="ORD00853"/>
        <s v="ORD00046"/>
        <s v="ORD00820"/>
        <s v="ORD00301"/>
        <s v="ORD00955"/>
        <s v="ORD00914"/>
        <s v="ORD00149"/>
        <s v="ORD00600"/>
        <s v="ORD00426"/>
        <s v="ORD00849"/>
        <s v="ORD00597"/>
        <s v="ORD00602"/>
        <s v="ORD00986"/>
        <s v="ORD00192"/>
        <s v="ORD00237"/>
        <s v="ORD00577"/>
        <s v="ORD00232"/>
        <s v="ORD00998"/>
        <s v="ORD01130"/>
        <s v="ORD00403"/>
        <s v="ORD00318"/>
        <s v="ORD01106"/>
        <s v="ORD00911"/>
        <s v="ORD00469"/>
        <s v="ORD00873"/>
        <s v="ORD00996"/>
        <s v="ORD00062"/>
        <s v="ORD00693"/>
        <s v="ORD00422"/>
        <s v="ORD00736"/>
        <s v="ORD01088"/>
        <s v="ORD01083"/>
        <s v="ORD00246"/>
        <s v="ORD00641"/>
        <s v="ORD01140"/>
        <s v="ORD00129"/>
        <s v="ORD00537"/>
        <s v="ORD01049"/>
        <s v="ORD00964"/>
        <s v="ORD00757"/>
        <s v="ORD00539"/>
        <s v="ORD01027"/>
        <s v="ORD00257"/>
        <s v="ORD00804"/>
        <s v="ORD00461"/>
        <s v="ORD00548"/>
        <s v="ORD00202"/>
        <s v="ORD00411"/>
        <s v="ORD00829"/>
        <s v="ORD00405"/>
        <s v="ORD00504"/>
        <s v="ORD00249"/>
        <s v="ORD00013"/>
        <s v="ORD00008"/>
        <s v="ORD01113"/>
        <s v="ORD00386"/>
        <s v="ORD00623"/>
        <s v="ORD00228"/>
        <s v="ORD00026"/>
        <s v="ORD00462"/>
        <s v="ORD00048"/>
        <s v="ORD00107"/>
        <s v="ORD00058"/>
        <s v="ORD00349"/>
        <s v="ORD00928"/>
        <s v="ORD00680"/>
        <s v="ORD00121"/>
        <s v="ORD00660"/>
        <s v="ORD01052"/>
        <s v="ORD00508"/>
        <s v="ORD00889"/>
        <s v="ORD00320"/>
        <s v="ORD00638"/>
        <s v="ORD00042"/>
        <s v="ORD00992"/>
        <s v="ORD00005"/>
        <s v="ORD00300"/>
        <s v="ORD00913"/>
        <s v="ORD00855"/>
        <s v="ORD01071"/>
        <s v="ORD00755"/>
        <s v="ORD00860"/>
        <s v="ORD00983"/>
        <s v="ORD00926"/>
        <s v="ORD00510"/>
        <s v="ORD00487"/>
        <s v="ORD00353"/>
        <s v="ORD01015"/>
        <s v="ORD00653"/>
        <s v="ORD00374"/>
        <s v="ORD00640"/>
        <s v="ORD00396"/>
        <s v="ORD00937"/>
        <s v="ORD00074"/>
        <s v="ORD00452"/>
        <s v="ORD00115"/>
        <s v="ORD00219"/>
        <s v="ORD00226"/>
        <s v="ORD00315"/>
        <s v="ORD00612"/>
        <s v="ORD00180"/>
        <s v="ORD00950"/>
        <s v="ORD01128"/>
        <s v="ORD01118"/>
        <s v="ORD00879"/>
        <s v="ORD00143"/>
        <s v="ORD00580"/>
        <s v="ORD00517"/>
        <s v="ORD00154"/>
        <s v="ORD01092"/>
        <s v="ORD00003"/>
        <s v="ORD00900"/>
        <s v="ORD00509"/>
        <s v="ORD00904"/>
        <s v="ORD00654"/>
        <s v="ORD00307"/>
        <s v="ORD00930"/>
        <s v="ORD01002"/>
        <s v="ORD00183"/>
        <s v="ORD00663"/>
        <s v="ORD00288"/>
        <s v="ORD00792"/>
        <s v="ORD01053"/>
        <s v="ORD00089"/>
        <s v="ORD00470"/>
        <s v="ORD00429"/>
        <s v="ORD00935"/>
        <s v="ORD01094"/>
        <s v="ORD01126"/>
        <s v="ORD00865"/>
        <s v="ORD00061"/>
        <s v="ORD01046"/>
        <s v="ORD00965"/>
        <s v="ORD01066"/>
        <s v="ORD00846"/>
        <s v="ORD01100"/>
        <s v="ORD00943"/>
        <s v="ORD00100"/>
        <s v="ORD00675"/>
        <s v="ORD00635"/>
        <s v="ORD00430"/>
        <s v="ORD00134"/>
        <s v="ORD01169"/>
        <s v="ORD01149"/>
        <s v="ORD00892"/>
        <s v="ORD01016"/>
        <s v="ORD00683"/>
        <s v="ORD00095"/>
        <s v="ORD00609"/>
        <s v="ORD01029"/>
        <s v="ORD00883"/>
        <s v="ORD00721"/>
        <s v="ORD00572"/>
        <s v="ORD00186"/>
        <s v="ORD00934"/>
        <s v="ORD00575"/>
        <s v="ORD00703"/>
        <s v="ORD00163"/>
        <s v="ORD00495"/>
        <s v="ORD00545"/>
        <s v="ORD00595"/>
        <s v="ORD00540"/>
        <s v="ORD01038"/>
        <s v="ORD00248"/>
        <s v="ORD01068"/>
        <s v="ORD00822"/>
        <s v="ORD01151"/>
        <s v="ORD00767"/>
        <s v="ORD00808"/>
        <s v="ORD00112"/>
        <s v="ORD00733"/>
        <s v="ORD00357"/>
        <s v="ORD00116"/>
        <s v="ORD00702"/>
        <s v="ORD00566"/>
        <s v="ORD00793"/>
        <s v="ORD01077"/>
        <s v="ORD00522"/>
        <s v="ORD00415"/>
        <s v="ORD00113"/>
        <s v="ORD00599"/>
        <s v="ORD00881"/>
        <s v="ORD00304"/>
        <s v="ORD01175"/>
        <s v="ORD00241"/>
        <s v="ORD00704"/>
        <s v="ORD01045"/>
        <s v="ORD01003"/>
        <s v="ORD00373"/>
        <s v="ORD00692"/>
        <s v="ORD01110"/>
        <s v="ORD00394"/>
        <s v="ORD00503"/>
        <s v="ORD00687"/>
        <s v="ORD01009"/>
        <s v="ORD00169"/>
        <s v="ORD00409"/>
        <s v="ORD01191"/>
        <s v="ORD00375"/>
        <s v="ORD00311"/>
        <s v="ORD00200"/>
        <s v="ORD00395"/>
        <s v="ORD00367"/>
        <s v="ORD00028"/>
        <s v="ORD00135"/>
        <s v="ORD00314"/>
        <s v="ORD00555"/>
        <s v="ORD00427"/>
        <s v="ORD00787"/>
        <s v="ORD00557"/>
        <s v="ORD00809"/>
        <s v="ORD01137"/>
        <s v="ORD00672"/>
        <s v="ORD00551"/>
        <s v="ORD00014"/>
        <s v="ORD00739"/>
        <s v="ORD00335"/>
        <s v="ORD00258"/>
        <s v="ORD00622"/>
        <s v="ORD01143"/>
        <s v="ORD00811"/>
        <s v="ORD00099"/>
        <s v="ORD00131"/>
        <s v="ORD00274"/>
        <s v="ORD01037"/>
        <s v="ORD01121"/>
        <s v="ORD00665"/>
        <s v="ORD00775"/>
        <s v="ORD00449"/>
        <s v="ORD00179"/>
        <s v="ORD00336"/>
        <s v="ORD00843"/>
        <s v="ORD00145"/>
        <s v="ORD00821"/>
        <s v="ORD00073"/>
        <s v="ORD00756"/>
        <s v="ORD00260"/>
        <s v="ORD00678"/>
        <s v="ORD00741"/>
        <s v="ORD00166"/>
        <s v="ORD01136"/>
        <s v="ORD00807"/>
        <s v="ORD01173"/>
        <s v="ORD00689"/>
        <s v="ORD00425"/>
        <s v="ORD00655"/>
        <s v="ORD00507"/>
        <s v="ORD00432"/>
        <s v="ORD00621"/>
        <s v="ORD00088"/>
        <s v="ORD00383"/>
        <s v="ORD00085"/>
        <s v="ORD00070"/>
        <s v="ORD00250"/>
        <s v="ORD00772"/>
        <s v="ORD00441"/>
        <s v="ORD00339"/>
        <s v="ORD00618"/>
        <s v="ORD01122"/>
        <s v="ORD00168"/>
        <s v="ORD00456"/>
        <s v="ORD00645"/>
        <s v="ORD00726"/>
        <s v="ORD00071"/>
        <s v="ORD00266"/>
        <s v="ORD00920"/>
        <s v="ORD00050"/>
        <s v="ORD00625"/>
        <s v="ORD00616"/>
        <s v="ORD00933"/>
        <s v="ORD00601"/>
        <s v="ORD01087"/>
        <s v="ORD00796"/>
        <s v="ORD00610"/>
        <s v="ORD00087"/>
        <s v="ORD01108"/>
        <s v="ORD00057"/>
        <s v="ORD00177"/>
        <s v="ORD00954"/>
        <s v="ORD01177"/>
        <s v="ORD00443"/>
        <s v="ORD00212"/>
        <s v="ORD00094"/>
        <s v="ORD00261"/>
        <s v="ORD00880"/>
        <s v="ORD00742"/>
        <s v="ORD00156"/>
        <s v="ORD00227"/>
        <s v="ORD00581"/>
        <s v="ORD00412"/>
        <s v="ORD00188"/>
        <s v="ORD00857"/>
        <s v="ORD00464"/>
        <s v="ORD00393"/>
        <s v="ORD00090"/>
        <s v="ORD00547"/>
        <s v="ORD00685"/>
        <s v="ORD00536"/>
        <s v="ORD00289"/>
        <s v="ORD00932"/>
        <s v="ORD00656"/>
        <s v="ORD00346"/>
        <s v="ORD00356"/>
        <s v="ORD01072"/>
        <s v="ORD00971"/>
        <s v="ORD00326"/>
        <s v="ORD00120"/>
        <s v="ORD00896"/>
        <s v="ORD00104"/>
        <s v="ORD01062"/>
        <s v="ORD00589"/>
        <s v="ORD00749"/>
        <s v="ORD00190"/>
        <s v="ORD00016"/>
        <s v="ORD00324"/>
        <s v="ORD00031"/>
        <s v="ORD00124"/>
        <s v="ORD00848"/>
        <s v="ORD00845"/>
        <s v="ORD00661"/>
        <s v="ORD00737"/>
        <s v="ORD00110"/>
        <s v="ORD00698"/>
        <s v="ORD00701"/>
        <s v="ORD01076"/>
        <s v="ORD00079"/>
        <s v="ORD00150"/>
        <s v="ORD00535"/>
        <s v="ORD00035"/>
        <s v="ORD01089"/>
        <s v="ORD00463"/>
        <s v="ORD00325"/>
        <s v="ORD01152"/>
        <s v="ORD00080"/>
        <s v="ORD00647"/>
        <s v="ORD00414"/>
        <s v="ORD00293"/>
        <s v="ORD00378"/>
        <s v="ORD00278"/>
        <s v="ORD00512"/>
        <s v="ORD00444"/>
        <s v="ORD00716"/>
        <s v="ORD00333"/>
        <s v="ORD00643"/>
        <s v="ORD00406"/>
        <s v="ORD00344"/>
        <s v="ORD00254"/>
        <s v="ORD00592"/>
        <s v="ORD00531"/>
        <s v="ORD00310"/>
        <s v="ORD00567"/>
        <s v="ORD01000"/>
        <s v="ORD00825"/>
        <s v="ORD00019"/>
        <s v="ORD00076"/>
        <s v="ORD00906"/>
        <s v="ORD00476"/>
        <s v="ORD00419"/>
        <s v="ORD00523"/>
        <s v="ORD01055"/>
        <s v="ORD01176"/>
        <s v="ORD00122"/>
        <s v="ORD00546"/>
        <s v="ORD00835"/>
        <s v="ORD01190"/>
        <s v="ORD00360"/>
        <s v="ORD01187"/>
        <s v="ORD00652"/>
        <s v="ORD00738"/>
        <s v="ORD01050"/>
        <s v="ORD00195"/>
        <s v="ORD01189"/>
        <s v="ORD00817"/>
        <s v="ORD01025"/>
        <s v="ORD00966"/>
        <s v="ORD00450"/>
        <s v="ORD00794"/>
        <s v="ORD01058"/>
        <s v="ORD01132"/>
        <s v="ORD01051"/>
        <s v="ORD01096"/>
        <s v="ORD00743"/>
        <s v="ORD00931"/>
        <s v="ORD00282"/>
        <s v="ORD00408"/>
        <s v="ORD00024"/>
        <s v="ORD01063"/>
        <s v="ORD00064"/>
        <s v="ORD00287"/>
        <s v="ORD00717"/>
        <s v="ORD00901"/>
        <s v="ORD00247"/>
        <s v="ORD00985"/>
        <s v="ORD01134"/>
        <s v="ORD00750"/>
        <s v="ORD00181"/>
        <s v="ORD00944"/>
        <s v="ORD00611"/>
        <s v="ORD01197"/>
        <s v="ORD00570"/>
        <s v="ORD00872"/>
        <s v="ORD00385"/>
        <s v="ORD00251"/>
        <s v="ORD00138"/>
        <s v="ORD00009"/>
        <s v="ORD00490"/>
        <s v="ORD00477"/>
        <s v="ORD00842"/>
        <s v="ORD00691"/>
        <s v="ORD00953"/>
        <s v="ORD00022"/>
        <s v="ORD00125"/>
        <s v="ORD00091"/>
        <s v="ORD00486"/>
        <s v="ORD00659"/>
        <s v="ORD00908"/>
        <s v="ORD00474"/>
        <s v="ORD00273"/>
        <s v="ORD01101"/>
        <s v="ORD00859"/>
        <s v="ORD00096"/>
        <s v="ORD00565"/>
        <s v="ORD00214"/>
        <s v="ORD00511"/>
        <s v="ORD01021"/>
        <s v="ORD00235"/>
        <s v="ORD01131"/>
        <s v="ORD00982"/>
        <s v="ORD00299"/>
        <s v="ORD01146"/>
        <s v="ORD00725"/>
        <s v="ORD00407"/>
        <s v="ORD00999"/>
        <s v="ORD00439"/>
        <s v="ORD00323"/>
        <s v="ORD00272"/>
        <s v="ORD00628"/>
        <s v="ORD00715"/>
        <s v="ORD00927"/>
        <s v="ORD00972"/>
        <s v="ORD00211"/>
        <s v="ORD01183"/>
        <s v="ORD00897"/>
        <s v="ORD00761"/>
        <s v="ORD00459"/>
        <s v="ORD01031"/>
        <s v="ORD00863"/>
        <s v="ORD00782"/>
        <s v="ORD01159"/>
        <s v="ORD00102"/>
        <s v="ORD00002"/>
        <s v="ORD00491"/>
        <s v="ORD00330"/>
        <s v="ORD00993"/>
        <s v="ORD01075"/>
        <s v="ORD00773"/>
        <s v="ORD00975"/>
        <s v="ORD00127"/>
        <s v="ORD00947"/>
        <s v="ORD00004"/>
        <s v="ORD00668"/>
        <s v="ORD01198"/>
        <s v="ORD00956"/>
        <s v="ORD00532"/>
        <s v="ORD00265"/>
        <s v="ORD00838"/>
        <s v="ORD00034"/>
      </sharedItems>
    </cacheField>
    <cacheField name="Order_Date" numFmtId="164">
      <sharedItems containsSemiMixedTypes="0" containsNonDate="0" containsDate="1" containsString="0" minDate="2025-01-01T00:00:00" maxDate="2026-01-01T00:00:00" count="348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3T00:00:00"/>
        <d v="2025-02-04T00:00:00"/>
        <d v="2025-02-05T00:00:00"/>
        <d v="2025-02-06T00:00:00"/>
        <d v="2025-02-07T00:00:00"/>
        <d v="2025-02-08T00:00:00"/>
        <d v="2025-02-10T00:00:00"/>
        <d v="2025-02-11T00:00:00"/>
        <d v="2025-02-12T00:00:00"/>
        <d v="2025-02-13T00:00:00"/>
        <d v="2025-02-14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29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6T00:00:00"/>
        <d v="2025-05-27T00:00:00"/>
        <d v="2025-05-28T00:00:00"/>
        <d v="2025-05-29T00:00:00"/>
        <d v="2025-05-30T00:00:00"/>
        <d v="2025-06-01T00:00:00"/>
        <d v="2025-06-02T00:00:00"/>
        <d v="2025-06-03T00:00:00"/>
        <d v="2025-06-04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12" base="1">
        <rangePr groupBy="days" startDate="2025-01-01T00:00:00" endDate="2026-01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Customer_ID" numFmtId="0">
      <sharedItems/>
    </cacheField>
    <cacheField name="Customer_Segment" numFmtId="0">
      <sharedItems/>
    </cacheField>
    <cacheField name="Product" numFmtId="0">
      <sharedItems count="12">
        <s v="Notebook Set"/>
        <s v="Office Chair"/>
        <s v="Mechanical Keyboard"/>
        <s v="Desk Lamp"/>
        <s v="24-inch Monitor"/>
        <s v="Backpack"/>
        <s v="Laptop Pro 14"/>
        <s v="Wireless Mouse"/>
        <s v="Standing Desk"/>
        <s v="File Organizer"/>
        <s v="Printer Paper"/>
        <s v="Water Bottle"/>
      </sharedItems>
    </cacheField>
    <cacheField name="Category" numFmtId="0">
      <sharedItems/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8.1" maxValue="1042.73"/>
    </cacheField>
    <cacheField name="Discount" numFmtId="0">
      <sharedItems containsSemiMixedTypes="0" containsString="0" containsNumber="1" minValue="0" maxValue="0.2" count="5">
        <n v="0.1"/>
        <n v="0.15"/>
        <n v="0.05"/>
        <n v="0"/>
        <n v="0.2"/>
      </sharedItems>
    </cacheField>
    <cacheField name="Sales" numFmtId="0">
      <sharedItems containsSemiMixedTypes="0" containsString="0" containsNumber="1" minValue="6.61" maxValue="4570.29" count="1175">
        <n v="13.13"/>
        <n v="501.11"/>
        <n v="207.28"/>
        <n v="38.24"/>
        <n v="146.26"/>
        <n v="212.04"/>
        <n v="131.99"/>
        <n v="129.93"/>
        <n v="26.84"/>
        <n v="186.13"/>
        <n v="2036.58"/>
        <n v="48.1"/>
        <n v="307.49"/>
        <n v="1613.79"/>
        <n v="13.17"/>
        <n v="340.54"/>
        <n v="33.340000000000003"/>
        <n v="1124.55"/>
        <n v="199.31"/>
        <n v="25.29"/>
        <n v="107.45"/>
        <n v="20.8"/>
        <n v="15.66"/>
        <n v="30.59"/>
        <n v="305.60000000000002"/>
        <n v="1549.02"/>
        <n v="614.96"/>
        <n v="12.61"/>
        <n v="27.41"/>
        <n v="664.71"/>
        <n v="14.62"/>
        <n v="297.19"/>
        <n v="52.94"/>
        <n v="22.98"/>
        <n v="396.33"/>
        <n v="17.190000000000001"/>
        <n v="7.87"/>
        <n v="324.35000000000002"/>
        <n v="30.63"/>
        <n v="79.94"/>
        <n v="83.5"/>
        <n v="587.02"/>
        <n v="162.41"/>
        <n v="897.24"/>
        <n v="47.62"/>
        <n v="28.33"/>
        <n v="25.01"/>
        <n v="39.49"/>
        <n v="39.75"/>
        <n v="18.809999999999999"/>
        <n v="8.4"/>
        <n v="15.6"/>
        <n v="167.24"/>
        <n v="163.19"/>
        <n v="25.94"/>
        <n v="53.43"/>
        <n v="59.94"/>
        <n v="123.64"/>
        <n v="55.61"/>
        <n v="193.47"/>
        <n v="87.25"/>
        <n v="57.01"/>
        <n v="33.9"/>
        <n v="74.47"/>
        <n v="20.36"/>
        <n v="273.66000000000003"/>
        <n v="603.62"/>
        <n v="45.6"/>
        <n v="73.709999999999994"/>
        <n v="68.790000000000006"/>
        <n v="144.11000000000001"/>
        <n v="41.13"/>
        <n v="26.47"/>
        <n v="18.16"/>
        <n v="336.2"/>
        <n v="12.88"/>
        <n v="883.03"/>
        <n v="52.32"/>
        <n v="23.01"/>
        <n v="188.79"/>
        <n v="1066.76"/>
        <n v="187.9"/>
        <n v="205.65"/>
        <n v="37.65"/>
        <n v="46.85"/>
        <n v="501.41"/>
        <n v="80.02"/>
        <n v="14.66"/>
        <n v="343.68"/>
        <n v="49.62"/>
        <n v="87.6"/>
        <n v="313.12"/>
        <n v="325.45"/>
        <n v="318.77999999999997"/>
        <n v="1067.26"/>
        <n v="32.950000000000003"/>
        <n v="53.2"/>
        <n v="295.17"/>
        <n v="45.5"/>
        <n v="14.81"/>
        <n v="76.22"/>
        <n v="209.9"/>
        <n v="1099"/>
        <n v="25.36"/>
        <n v="851.27"/>
        <n v="84.98"/>
        <n v="178.92"/>
        <n v="96.99"/>
        <n v="851.09"/>
        <n v="46.89"/>
        <n v="876.87"/>
        <n v="139.13"/>
        <n v="586.49"/>
        <n v="157.19999999999999"/>
        <n v="3239.41"/>
        <n v="274.76"/>
        <n v="25.77"/>
        <n v="34.840000000000003"/>
        <n v="920.12"/>
        <n v="20.84"/>
        <n v="288.77"/>
        <n v="112.88"/>
        <n v="27.38"/>
        <n v="45.47"/>
        <n v="34.56"/>
        <n v="329.59"/>
        <n v="123.04"/>
        <n v="349.67"/>
        <n v="36.21"/>
        <n v="2081.79"/>
        <n v="167.06"/>
        <n v="3690.54"/>
        <n v="84.7"/>
        <n v="149.41999999999999"/>
        <n v="743.85"/>
        <n v="52.92"/>
        <n v="72.81"/>
        <n v="160.05000000000001"/>
        <n v="15.53"/>
        <n v="938.3"/>
        <n v="193.53"/>
        <n v="21.71"/>
        <n v="215.96"/>
        <n v="56.37"/>
        <n v="169.92"/>
        <n v="32.299999999999997"/>
        <n v="161.58000000000001"/>
        <n v="3254.59"/>
        <n v="62.47"/>
        <n v="50.41"/>
        <n v="1653.5"/>
        <n v="16.59"/>
        <n v="212.09"/>
        <n v="171.31"/>
        <n v="35.07"/>
        <n v="37.6"/>
        <n v="473.49"/>
        <n v="816.46"/>
        <n v="141.57"/>
        <n v="69.05"/>
        <n v="2327.06"/>
        <n v="80.67"/>
        <n v="69.569999999999993"/>
        <n v="368.16"/>
        <n v="15.12"/>
        <n v="58.72"/>
        <n v="33.85"/>
        <n v="78.58"/>
        <n v="12.43"/>
        <n v="373.87"/>
        <n v="19.350000000000001"/>
        <n v="2649.74"/>
        <n v="23.47"/>
        <n v="538.91"/>
        <n v="102.12"/>
        <n v="56.75"/>
        <n v="178.79"/>
        <n v="18.61"/>
        <n v="60.59"/>
        <n v="46.99"/>
        <n v="48.29"/>
        <n v="225.87"/>
        <n v="1013.3"/>
        <n v="248.68"/>
        <n v="32.909999999999997"/>
        <n v="2597.25"/>
        <n v="510.94"/>
        <n v="140.80000000000001"/>
        <n v="964.86"/>
        <n v="2684.33"/>
        <n v="657.87"/>
        <n v="76.599999999999994"/>
        <n v="656.16"/>
        <n v="41.9"/>
        <n v="62.41"/>
        <n v="274.29000000000002"/>
        <n v="414.38"/>
        <n v="1951.74"/>
        <n v="35.81"/>
        <n v="36.229999999999997"/>
        <n v="45.68"/>
        <n v="160.65"/>
        <n v="8.24"/>
        <n v="208.68"/>
        <n v="489.32"/>
        <n v="21.35"/>
        <n v="246.14"/>
        <n v="52.45"/>
        <n v="84.26"/>
        <n v="130.02000000000001"/>
        <n v="136.06"/>
        <n v="114.25"/>
        <n v="35.67"/>
        <n v="157.47"/>
        <n v="327.67"/>
        <n v="564.4"/>
        <n v="609.86"/>
        <n v="859.49"/>
        <n v="44.4"/>
        <n v="340.21"/>
        <n v="97.39"/>
        <n v="43.66"/>
        <n v="28.21"/>
        <n v="200.69"/>
        <n v="318.32"/>
        <n v="19.47"/>
        <n v="16.18"/>
        <n v="11.76"/>
        <n v="43.44"/>
        <n v="29.18"/>
        <n v="29.61"/>
        <n v="2836.62"/>
        <n v="79.62"/>
        <n v="165.53"/>
        <n v="8.48"/>
        <n v="781.31"/>
        <n v="14.7"/>
        <n v="146.56"/>
        <n v="102.58"/>
        <n v="52.29"/>
        <n v="44.36"/>
        <n v="15.65"/>
        <n v="794.07"/>
        <n v="14.52"/>
        <n v="74.53"/>
        <n v="20.85"/>
        <n v="106.97"/>
        <n v="820.92"/>
        <n v="27.59"/>
        <n v="16.260000000000002"/>
        <n v="75.099999999999994"/>
        <n v="76.900000000000006"/>
        <n v="271.77999999999997"/>
        <n v="35.799999999999997"/>
        <n v="637.09"/>
        <n v="154.66999999999999"/>
        <n v="425.69"/>
        <n v="22.56"/>
        <n v="96.49"/>
        <n v="57.9"/>
        <n v="84.51"/>
        <n v="374.29"/>
        <n v="659.76"/>
        <n v="13.79"/>
        <n v="674.14"/>
        <n v="909.02"/>
        <n v="141.77000000000001"/>
        <n v="75.88"/>
        <n v="19.46"/>
        <n v="1811.16"/>
        <n v="47.45"/>
        <n v="36.020000000000003"/>
        <n v="64.88"/>
        <n v="135.44999999999999"/>
        <n v="286.45"/>
        <n v="128.97999999999999"/>
        <n v="162.61000000000001"/>
        <n v="917.26"/>
        <n v="136.63"/>
        <n v="203.52"/>
        <n v="14.69"/>
        <n v="83.97"/>
        <n v="76.64"/>
        <n v="22.08"/>
        <n v="43.07"/>
        <n v="18.350000000000001"/>
        <n v="637.11"/>
        <n v="723.01"/>
        <n v="34.69"/>
        <n v="40.46"/>
        <n v="926.51"/>
        <n v="26.83"/>
        <n v="1002.15"/>
        <n v="56.38"/>
        <n v="335.94"/>
        <n v="143.72999999999999"/>
        <n v="549.57000000000005"/>
        <n v="74.150000000000006"/>
        <n v="18.68"/>
        <n v="153.13"/>
        <n v="1814.77"/>
        <n v="7.82"/>
        <n v="13.2"/>
        <n v="44.19"/>
        <n v="7.1"/>
        <n v="266.17"/>
        <n v="281.51"/>
        <n v="954.69"/>
        <n v="202.06"/>
        <n v="81.11"/>
        <n v="762.44"/>
        <n v="60.95"/>
        <n v="17.37"/>
        <n v="345.78"/>
        <n v="915.88"/>
        <n v="163.99"/>
        <n v="277.67"/>
        <n v="150.78"/>
        <n v="4091.08"/>
        <n v="44.39"/>
        <n v="227.34"/>
        <n v="71.099999999999994"/>
        <n v="18.690000000000001"/>
        <n v="391.1"/>
        <n v="104.67"/>
        <n v="100.47"/>
        <n v="974.27"/>
        <n v="79.72"/>
        <n v="78.16"/>
        <n v="24.54"/>
        <n v="74.569999999999993"/>
        <n v="33.299999999999997"/>
        <n v="465.85"/>
        <n v="206.55"/>
        <n v="130.41999999999999"/>
        <n v="395.47"/>
        <n v="879.76"/>
        <n v="89.68"/>
        <n v="72.010000000000005"/>
        <n v="80.400000000000006"/>
        <n v="47.29"/>
        <n v="115.37"/>
        <n v="184.47"/>
        <n v="159.56"/>
        <n v="29.89"/>
        <n v="65.7"/>
        <n v="230.67"/>
        <n v="27.84"/>
        <n v="2819.63"/>
        <n v="423.99"/>
        <n v="118.79"/>
        <n v="51.2"/>
        <n v="45.23"/>
        <n v="952.44"/>
        <n v="14.61"/>
        <n v="184.37"/>
        <n v="18.87"/>
        <n v="27.54"/>
        <n v="635.20000000000005"/>
        <n v="22.34"/>
        <n v="349.44"/>
        <n v="19.45"/>
        <n v="1950.42"/>
        <n v="44.85"/>
        <n v="319.3"/>
        <n v="18.13"/>
        <n v="8.85"/>
        <n v="12.24"/>
        <n v="18.21"/>
        <n v="35.369999999999997"/>
        <n v="43.06"/>
        <n v="84.06"/>
        <n v="377.59"/>
        <n v="47.86"/>
        <n v="426.96"/>
        <n v="13.54"/>
        <n v="880.75"/>
        <n v="39.03"/>
        <n v="24.39"/>
        <n v="139.21"/>
        <n v="53.5"/>
        <n v="35.97"/>
        <n v="39.31"/>
        <n v="1833.92"/>
        <n v="34.35"/>
        <n v="433.69"/>
        <n v="2582.9699999999998"/>
        <n v="966.06"/>
        <n v="17.399999999999999"/>
        <n v="40.39"/>
        <n v="28.38"/>
        <n v="112.93"/>
        <n v="948.68"/>
        <n v="38.94"/>
        <n v="38.33"/>
        <n v="75.790000000000006"/>
        <n v="39.69"/>
        <n v="406.65"/>
        <n v="100.86"/>
        <n v="38.68"/>
        <n v="58.38"/>
        <n v="198.89"/>
        <n v="313.86"/>
        <n v="68.83"/>
        <n v="2353.94"/>
        <n v="129.56"/>
        <n v="1032.58"/>
        <n v="139.59"/>
        <n v="23.92"/>
        <n v="399.15"/>
        <n v="205.05"/>
        <n v="179.39"/>
        <n v="13.27"/>
        <n v="28.16"/>
        <n v="38.58"/>
        <n v="206.36"/>
        <n v="196.15"/>
        <n v="39.130000000000003"/>
        <n v="15.42"/>
        <n v="576.21"/>
        <n v="214.33"/>
        <n v="170.91"/>
        <n v="72.150000000000006"/>
        <n v="66.569999999999993"/>
        <n v="450.49"/>
        <n v="55.35"/>
        <n v="11.41"/>
        <n v="1035.79"/>
        <n v="330.1"/>
        <n v="232.37"/>
        <n v="27.64"/>
        <n v="595.1"/>
        <n v="170.48"/>
        <n v="1614.06"/>
        <n v="182.43"/>
        <n v="156.03"/>
        <n v="15.76"/>
        <n v="40.69"/>
        <n v="152.79"/>
        <n v="46.19"/>
        <n v="25.02"/>
        <n v="590.73"/>
        <n v="40.06"/>
        <n v="130.19999999999999"/>
        <n v="69.7"/>
        <n v="66.599999999999994"/>
        <n v="75.89"/>
        <n v="1048.07"/>
        <n v="701.12"/>
        <n v="54.64"/>
        <n v="147.41"/>
        <n v="194.46"/>
        <n v="69.97"/>
        <n v="270.44"/>
        <n v="31.38"/>
        <n v="42.33"/>
        <n v="201.44"/>
        <n v="193.13"/>
        <n v="34.03"/>
        <n v="154.36000000000001"/>
        <n v="430.05"/>
        <n v="26.24"/>
        <n v="56.69"/>
        <n v="329.76"/>
        <n v="57.24"/>
        <n v="81.93"/>
        <n v="12.22"/>
        <n v="298.11"/>
        <n v="15.25"/>
        <n v="730"/>
        <n v="21.48"/>
        <n v="35.99"/>
        <n v="442.02"/>
        <n v="457.36"/>
        <n v="179.93"/>
        <n v="7.84"/>
        <n v="32.799999999999997"/>
        <n v="293.08"/>
        <n v="46.96"/>
        <n v="320.20999999999998"/>
        <n v="1247.28"/>
        <n v="350.84"/>
        <n v="59.03"/>
        <n v="113.19"/>
        <n v="7.75"/>
        <n v="584.19000000000005"/>
        <n v="13.61"/>
        <n v="15.94"/>
        <n v="126.25"/>
        <n v="16.14"/>
        <n v="41.86"/>
        <n v="24.09"/>
        <n v="214.56"/>
        <n v="153.80000000000001"/>
        <n v="193.07"/>
        <n v="830.3"/>
        <n v="64.8"/>
        <n v="16.059999999999999"/>
        <n v="168.01"/>
        <n v="86.77"/>
        <n v="4570.29"/>
        <n v="39.44"/>
        <n v="290.47000000000003"/>
        <n v="390.29"/>
        <n v="1830.12"/>
        <n v="91.58"/>
        <n v="267.88"/>
        <n v="47.23"/>
        <n v="1010.55"/>
        <n v="33.58"/>
        <n v="8.83"/>
        <n v="13.33"/>
        <n v="30.73"/>
        <n v="40.159999999999997"/>
        <n v="631.77"/>
        <n v="39.950000000000003"/>
        <n v="23.43"/>
        <n v="91.66"/>
        <n v="949.47"/>
        <n v="606.6"/>
        <n v="195.01"/>
        <n v="34.06"/>
        <n v="8.58"/>
        <n v="8.61"/>
        <n v="18.64"/>
        <n v="67.62"/>
        <n v="37.42"/>
        <n v="130.06"/>
        <n v="135.72999999999999"/>
        <n v="39.97"/>
        <n v="37.619999999999997"/>
        <n v="211.74"/>
        <n v="42.34"/>
        <n v="1195.93"/>
        <n v="245.85"/>
        <n v="84.65"/>
        <n v="182.02"/>
        <n v="17.3"/>
        <n v="64.78"/>
        <n v="54.24"/>
        <n v="42.47"/>
        <n v="1760.2"/>
        <n v="156.05000000000001"/>
        <n v="24.11"/>
        <n v="21.36"/>
        <n v="335.86"/>
        <n v="175.33"/>
        <n v="1288.3699999999999"/>
        <n v="65"/>
        <n v="16.829999999999998"/>
        <n v="615.96"/>
        <n v="39.78"/>
        <n v="191.77"/>
        <n v="267.68"/>
        <n v="391.2"/>
        <n v="8.34"/>
        <n v="14.27"/>
        <n v="93"/>
        <n v="28.84"/>
        <n v="71.92"/>
        <n v="39.81"/>
        <n v="21.39"/>
        <n v="30.36"/>
        <n v="47.25"/>
        <n v="816.77"/>
        <n v="24.04"/>
        <n v="46.75"/>
        <n v="679.93"/>
        <n v="1691.67"/>
        <n v="72.09"/>
        <n v="2077.09"/>
        <n v="73.05"/>
        <n v="687.2"/>
        <n v="8.1199999999999992"/>
        <n v="460.13"/>
        <n v="57.94"/>
        <n v="76.42"/>
        <n v="87.81"/>
        <n v="1868.45"/>
        <n v="77.430000000000007"/>
        <n v="103.88"/>
        <n v="37.14"/>
        <n v="76.58"/>
        <n v="48.02"/>
        <n v="232.22"/>
        <n v="169.64"/>
        <n v="188.66"/>
        <n v="943.48"/>
        <n v="34.92"/>
        <n v="23.75"/>
        <n v="126.87"/>
        <n v="894.8"/>
        <n v="816.78"/>
        <n v="17.97"/>
        <n v="20.53"/>
        <n v="49.64"/>
        <n v="182.9"/>
        <n v="220.74"/>
        <n v="31.01"/>
        <n v="305.97000000000003"/>
        <n v="54.45"/>
        <n v="325.10000000000002"/>
        <n v="23.94"/>
        <n v="7.05"/>
        <n v="51.97"/>
        <n v="19.440000000000001"/>
        <n v="99.9"/>
        <n v="26.25"/>
        <n v="168.55"/>
        <n v="166.51"/>
        <n v="54.38"/>
        <n v="54.32"/>
        <n v="909.28"/>
        <n v="11.87"/>
        <n v="73.790000000000006"/>
        <n v="77.959999999999994"/>
        <n v="35.49"/>
        <n v="75.17"/>
        <n v="34.18"/>
        <n v="127.68"/>
        <n v="114.03"/>
        <n v="39.71"/>
        <n v="7.7"/>
        <n v="337.37"/>
        <n v="11.4"/>
        <n v="1738.38"/>
        <n v="49.09"/>
        <n v="19.59"/>
        <n v="3049.46"/>
        <n v="355.56"/>
        <n v="86.06"/>
        <n v="20.27"/>
        <n v="905.75"/>
        <n v="52.57"/>
        <n v="42.19"/>
        <n v="15.58"/>
        <n v="53.57"/>
        <n v="364.06"/>
        <n v="7.89"/>
        <n v="491.1"/>
        <n v="1913.48"/>
        <n v="141.15"/>
        <n v="220.22"/>
        <n v="151.26"/>
        <n v="50.77"/>
        <n v="407.27"/>
        <n v="74.38"/>
        <n v="28.17"/>
        <n v="15.11"/>
        <n v="869.48"/>
        <n v="37.880000000000003"/>
        <n v="69.34"/>
        <n v="136.93"/>
        <n v="380.47"/>
        <n v="783.2"/>
        <n v="14.26"/>
        <n v="1137.72"/>
        <n v="3896.35"/>
        <n v="298.83999999999997"/>
        <n v="896.52"/>
        <n v="16.52"/>
        <n v="559.49"/>
        <n v="23.66"/>
        <n v="391.96"/>
        <n v="874.72"/>
        <n v="99.96"/>
        <n v="16.61"/>
        <n v="125.95"/>
        <n v="23.36"/>
        <n v="1889.91"/>
        <n v="302.79000000000002"/>
        <n v="24.49"/>
        <n v="327.23"/>
        <n v="32.83"/>
        <n v="1809.68"/>
        <n v="57"/>
        <n v="108.99"/>
        <n v="302.92"/>
        <n v="2604.63"/>
        <n v="220.86"/>
        <n v="188.98"/>
        <n v="2679.72"/>
        <n v="25.26"/>
        <n v="21.93"/>
        <n v="718.14"/>
        <n v="1918.89"/>
        <n v="114.92"/>
        <n v="21.92"/>
        <n v="1359.68"/>
        <n v="1632.65"/>
        <n v="613.46"/>
        <n v="148.4"/>
        <n v="14.54"/>
        <n v="142.96"/>
        <n v="801.76"/>
        <n v="28.66"/>
        <n v="51.66"/>
        <n v="555"/>
        <n v="37.93"/>
        <n v="23.67"/>
        <n v="20.9"/>
        <n v="860.72"/>
        <n v="17.989999999999998"/>
        <n v="721.7"/>
        <n v="50.16"/>
        <n v="767.58"/>
        <n v="106.34"/>
        <n v="738.8"/>
        <n v="2331.98"/>
        <n v="38.69"/>
        <n v="25.88"/>
        <n v="20.23"/>
        <n v="35.83"/>
        <n v="142.66999999999999"/>
        <n v="1367.76"/>
        <n v="21.28"/>
        <n v="879.86"/>
        <n v="83.86"/>
        <n v="57.02"/>
        <n v="26.4"/>
        <n v="9.49"/>
        <n v="1958.79"/>
        <n v="40.33"/>
        <n v="13.52"/>
        <n v="405.61"/>
        <n v="363.25"/>
        <n v="16.07"/>
        <n v="371.69"/>
        <n v="722.76"/>
        <n v="131.57"/>
        <n v="566.34"/>
        <n v="23.8"/>
        <n v="133.78"/>
        <n v="24.81"/>
        <n v="154.71"/>
        <n v="1712.69"/>
        <n v="13.34"/>
        <n v="32.229999999999997"/>
        <n v="8.23"/>
        <n v="95.32"/>
        <n v="179.85"/>
        <n v="190.37"/>
        <n v="40.43"/>
        <n v="82"/>
        <n v="106.1"/>
        <n v="152.71"/>
        <n v="292.29000000000002"/>
        <n v="156.18"/>
        <n v="539.34"/>
        <n v="710.27"/>
        <n v="57.39"/>
        <n v="35.47"/>
        <n v="12.04"/>
        <n v="16.68"/>
        <n v="541.34"/>
        <n v="18.559999999999999"/>
        <n v="35.28"/>
        <n v="121.79"/>
        <n v="42.95"/>
        <n v="14.58"/>
        <n v="3506.18"/>
        <n v="322.01"/>
        <n v="18.86"/>
        <n v="35.35"/>
        <n v="3225.78"/>
        <n v="192.76"/>
        <n v="7.97"/>
        <n v="58.52"/>
        <n v="21.85"/>
        <n v="822.1"/>
        <n v="203.94"/>
        <n v="9.73"/>
        <n v="13.14"/>
        <n v="198.2"/>
        <n v="42.61"/>
        <n v="120.36"/>
        <n v="21.79"/>
        <n v="27.77"/>
        <n v="17.86"/>
        <n v="28.64"/>
        <n v="1216.4000000000001"/>
        <n v="780.01"/>
        <n v="184.24"/>
        <n v="625.59"/>
        <n v="1637.31"/>
        <n v="337.19"/>
        <n v="36.17"/>
        <n v="18.48"/>
        <n v="70.17"/>
        <n v="178.48"/>
        <n v="287.97000000000003"/>
        <n v="1773.63"/>
        <n v="286.27999999999997"/>
        <n v="4204.7700000000004"/>
        <n v="852.59"/>
        <n v="130.69999999999999"/>
        <n v="17.64"/>
        <n v="47.42"/>
        <n v="31.7"/>
        <n v="58.03"/>
        <n v="516.64"/>
        <n v="38.96"/>
        <n v="136.6"/>
        <n v="38.6"/>
        <n v="28.96"/>
        <n v="139.09"/>
        <n v="621.74"/>
        <n v="15.85"/>
        <n v="789.54"/>
        <n v="274.69"/>
        <n v="1868.83"/>
        <n v="1722.5"/>
        <n v="556.12"/>
        <n v="110.83"/>
        <n v="38.22"/>
        <n v="367.34"/>
        <n v="751.5"/>
        <n v="140.11000000000001"/>
        <n v="86.57"/>
        <n v="154.69999999999999"/>
        <n v="170.1"/>
        <n v="60.36"/>
        <n v="8.2200000000000006"/>
        <n v="81.87"/>
        <n v="11.44"/>
        <n v="28.81"/>
        <n v="139.55000000000001"/>
        <n v="75.31"/>
        <n v="42.72"/>
        <n v="324.11"/>
        <n v="39.17"/>
        <n v="120.42"/>
        <n v="117.23"/>
        <n v="9.2899999999999991"/>
        <n v="599.99"/>
        <n v="14.33"/>
        <n v="22.19"/>
        <n v="46.76"/>
        <n v="61.04"/>
        <n v="92.74"/>
        <n v="227.52"/>
        <n v="35.15"/>
        <n v="27.27"/>
        <n v="164.32"/>
        <n v="208.29"/>
        <n v="47.13"/>
        <n v="81.19"/>
        <n v="47.78"/>
        <n v="1717.31"/>
        <n v="18.89"/>
        <n v="116.42"/>
        <n v="313.57"/>
        <n v="11.42"/>
        <n v="45.67"/>
        <n v="15.5"/>
        <n v="323.42"/>
        <n v="392.29"/>
        <n v="839.58"/>
        <n v="22.38"/>
        <n v="8.3800000000000008"/>
        <n v="120.61"/>
        <n v="1080.69"/>
        <n v="185.65"/>
        <n v="126.28"/>
        <n v="48.16"/>
        <n v="22.54"/>
        <n v="37.11"/>
        <n v="859.26"/>
        <n v="26.73"/>
        <n v="568.84"/>
        <n v="90.89"/>
        <n v="34.93"/>
        <n v="8.8800000000000008"/>
        <n v="43.18"/>
        <n v="511.32"/>
        <n v="608.49"/>
        <n v="215.56"/>
        <n v="69.209999999999994"/>
        <n v="41.35"/>
        <n v="23.95"/>
        <n v="28.83"/>
        <n v="182.74"/>
        <n v="255.1"/>
        <n v="803.66"/>
        <n v="941.2"/>
        <n v="41.07"/>
        <n v="30.38"/>
        <n v="75.91"/>
        <n v="181.1"/>
        <n v="137.59"/>
        <n v="143.43"/>
        <n v="14.06"/>
        <n v="19.100000000000001"/>
        <n v="89.72"/>
        <n v="3014.9"/>
        <n v="47.73"/>
        <n v="18.39"/>
        <n v="2931.08"/>
        <n v="12.2"/>
        <n v="628.99"/>
        <n v="75.599999999999994"/>
        <n v="294.44"/>
        <n v="398.32"/>
        <n v="74.87"/>
        <n v="1455.34"/>
        <n v="47"/>
        <n v="69.3"/>
        <n v="57.64"/>
        <n v="436.4"/>
        <n v="366.58"/>
        <n v="922.67"/>
        <n v="27.99"/>
        <n v="773.93"/>
        <n v="641.62"/>
        <n v="58.61"/>
        <n v="49.97"/>
        <n v="141.83000000000001"/>
        <n v="51.04"/>
        <n v="183.71"/>
        <n v="52.84"/>
        <n v="118.08"/>
        <n v="4565.41"/>
        <n v="103.48"/>
        <n v="61.24"/>
        <n v="101.74"/>
        <n v="103.44"/>
        <n v="4107"/>
        <n v="31.79"/>
        <n v="17.25"/>
        <n v="182.84"/>
        <n v="20.170000000000002"/>
        <n v="15.8"/>
        <n v="203.37"/>
        <n v="53.05"/>
        <n v="985.09"/>
        <n v="519.08000000000004"/>
        <n v="650.07000000000005"/>
        <n v="312.19"/>
        <n v="341.81"/>
        <n v="117.15"/>
        <n v="149.22999999999999"/>
        <n v="6.61"/>
        <n v="28.12"/>
        <n v="94.63"/>
        <n v="909.09"/>
        <n v="80.94"/>
        <n v="118.67"/>
        <n v="877.35"/>
        <n v="287.95999999999998"/>
        <n v="979.77"/>
        <n v="151.27000000000001"/>
        <n v="131.88"/>
        <n v="168.72"/>
        <n v="42.79"/>
        <n v="13.73"/>
        <n v="33.75"/>
        <n v="190.48"/>
        <n v="83.36"/>
        <n v="733.36"/>
        <n v="132.61000000000001"/>
        <n v="400.99"/>
        <n v="662.14"/>
        <n v="2241.69"/>
        <n v="221.57"/>
        <n v="184.55"/>
        <n v="413.13"/>
        <n v="12.82"/>
        <n v="397.91"/>
        <n v="227.88"/>
        <n v="344"/>
        <n v="110.38"/>
        <n v="25.67"/>
        <n v="36.28"/>
        <n v="38.729999999999997"/>
        <n v="36.26"/>
        <n v="31.37"/>
        <n v="19.79"/>
        <n v="152.53"/>
        <n v="24.29"/>
        <n v="43.51"/>
        <n v="23.46"/>
        <n v="415.37"/>
        <n v="19.48"/>
        <n v="54.4"/>
        <n v="18.82"/>
        <n v="199.81"/>
        <n v="41.21"/>
        <n v="7.61"/>
        <n v="25.62"/>
        <n v="34.96"/>
        <n v="63.03"/>
        <n v="32.590000000000003"/>
        <n v="13.77"/>
        <n v="13.56"/>
        <n v="25.47"/>
        <n v="149.47999999999999"/>
        <n v="19.78"/>
        <n v="40.17"/>
        <n v="1042.73"/>
        <n v="49.05"/>
        <n v="157.53"/>
        <n v="18.12"/>
        <n v="20.11"/>
        <n v="61.37"/>
        <n v="20.05"/>
        <n v="176.71"/>
        <n v="61.35"/>
        <n v="805.21"/>
        <n v="17.690000000000001"/>
        <n v="207.32"/>
        <n v="315.04000000000002"/>
        <n v="2842.31"/>
        <n v="41.12"/>
        <n v="78.040000000000006"/>
        <n v="225.28"/>
        <n v="16.190000000000001"/>
        <n v="909.25"/>
        <n v="70.09"/>
        <n v="79.88"/>
        <n v="670.99"/>
        <n v="49.86"/>
        <n v="636.19000000000005"/>
        <n v="593.61"/>
        <n v="63.24"/>
        <n v="26.32"/>
        <n v="15.33"/>
        <n v="627.52"/>
        <n v="137.05000000000001"/>
        <n v="17.63"/>
        <n v="106.43"/>
        <n v="60.93"/>
        <n v="55.1"/>
        <n v="295"/>
        <n v="540.91"/>
        <n v="38.840000000000003"/>
        <n v="178.57"/>
        <n v="72.48"/>
        <n v="187.92"/>
        <n v="131.31"/>
        <n v="638.66"/>
        <n v="73.45"/>
        <n v="64.03"/>
        <n v="22.81"/>
        <n v="39.32"/>
        <n v="279.57"/>
        <n v="27.23"/>
        <n v="33.46"/>
        <n v="329.81"/>
        <n v="22.85"/>
        <n v="225"/>
        <n v="207.59"/>
        <n v="23.33"/>
        <n v="8.0399999999999991"/>
        <n v="52.34"/>
        <n v="71.28"/>
        <n v="857.66"/>
        <n v="108.08"/>
        <n v="13.19"/>
        <n v="94.25"/>
        <n v="947.84"/>
        <n v="1621.16"/>
        <n v="3804.53"/>
        <n v="37.86"/>
        <n v="34.770000000000003"/>
        <n v="527.39"/>
        <n v="33.229999999999997"/>
        <n v="24.03"/>
        <n v="605.73"/>
        <n v="63.17"/>
        <n v="131.44999999999999"/>
        <n v="210.63"/>
        <n v="48.91"/>
        <n v="777.76"/>
        <n v="53.19"/>
        <n v="96.83"/>
        <n v="311.26"/>
        <n v="16.350000000000001"/>
        <n v="885.29"/>
        <n v="184.4"/>
        <n v="712.56"/>
        <n v="34.17"/>
        <n v="12.63"/>
        <n v="266.39"/>
        <n v="272.02"/>
        <n v="73.97"/>
        <n v="852.8"/>
        <n v="19.86"/>
        <n v="113.41"/>
        <n v="32.69"/>
        <n v="15.84"/>
        <n v="381.88"/>
        <n v="145.68"/>
        <n v="19.21"/>
        <n v="53.31"/>
        <n v="37.799999999999997"/>
        <n v="1969.22"/>
        <n v="360.4"/>
        <n v="77.599999999999994"/>
        <n v="14.22"/>
        <n v="69.61"/>
        <n v="16.27"/>
        <n v="177.06"/>
        <n v="160.94999999999999"/>
        <n v="211.52"/>
        <n v="107.29"/>
        <n v="738.01"/>
        <n v="233.97"/>
        <n v="3580.76"/>
        <n v="107.4"/>
        <n v="1501.94"/>
        <n v="1498.52"/>
        <n v="14.11"/>
        <n v="711.67"/>
        <n v="13.7"/>
        <n v="2682.48"/>
        <n v="53.26"/>
        <n v="2598.69"/>
        <n v="54.79"/>
        <n v="29.68"/>
        <n v="192.88"/>
        <n v="36.42"/>
        <n v="1733.64"/>
        <n v="3859"/>
        <n v="55.18"/>
        <n v="17.420000000000002"/>
        <n v="883.89"/>
        <n v="139.16"/>
        <n v="320.68"/>
        <n v="349.24"/>
        <n v="1011.36"/>
        <n v="11.39"/>
        <n v="7.24"/>
        <n v="267"/>
        <n v="321.83999999999997"/>
        <n v="1964.97"/>
        <n v="68.459999999999994"/>
        <n v="140.87"/>
        <n v="142.35"/>
        <n v="287.37"/>
        <n v="86.25"/>
        <n v="40.119999999999997"/>
        <n v="24.05"/>
        <n v="74.400000000000006"/>
        <n v="126.39"/>
        <n v="655.67"/>
        <n v="163.01"/>
        <n v="79.33"/>
        <n v="51.45"/>
        <n v="65.39"/>
        <n v="62.75"/>
        <n v="9.16"/>
        <n v="36.130000000000003"/>
        <n v="50.13"/>
        <n v="61.05"/>
        <n v="25.64"/>
        <n v="16.89"/>
        <n v="12.16"/>
        <n v="39.94"/>
        <n v="32.14"/>
        <n v="72.900000000000006"/>
        <n v="45.43"/>
        <n v="317.02"/>
        <n v="345.83"/>
        <n v="100.66"/>
        <n v="18.71"/>
        <n v="459.69"/>
        <n v="1612.1"/>
        <n v="149.69999999999999"/>
        <n v="93.12"/>
        <n v="166.8"/>
        <n v="168.15"/>
        <n v="3702.78"/>
        <n v="292.23"/>
        <n v="72.94"/>
        <n v="229.72"/>
      </sharedItems>
    </cacheField>
    <cacheField name="Profit" numFmtId="0">
      <sharedItems containsSemiMixedTypes="0" containsString="0" containsNumber="1" minValue="0.32" maxValue="1265.28"/>
    </cacheField>
    <cacheField name="Months" numFmtId="0" databaseField="0">
      <fieldGroup base="1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5.964427083331" createdVersion="8" refreshedVersion="8" minRefreshableVersion="3" recordCount="1200" xr:uid="{7D6068AC-52C2-44CD-A97D-00F70C824CA9}">
  <cacheSource type="worksheet">
    <worksheetSource ref="A1:M1201" sheet="Data"/>
  </cacheSource>
  <cacheFields count="13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6-01-01T00:00:00"/>
    </cacheField>
    <cacheField name="Customer_ID" numFmtId="0">
      <sharedItems/>
    </cacheField>
    <cacheField name="Customer_Segment" numFmtId="0">
      <sharedItems/>
    </cacheField>
    <cacheField name="Product" numFmtId="0">
      <sharedItems/>
    </cacheField>
    <cacheField name="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8.1" maxValue="1042.73"/>
    </cacheField>
    <cacheField name="Discount" numFmtId="0">
      <sharedItems containsSemiMixedTypes="0" containsString="0" containsNumber="1" minValue="0" maxValue="0.2"/>
    </cacheField>
    <cacheField name="Sales" numFmtId="0">
      <sharedItems containsSemiMixedTypes="0" containsString="0" containsNumber="1" minValue="6.61" maxValue="4570.29"/>
    </cacheField>
    <cacheField name="Profit" numFmtId="0">
      <sharedItems containsSemiMixedTypes="0" containsString="0" containsNumber="1" minValue="0.32" maxValue="1265.28"/>
    </cacheField>
    <cacheField name="Discount amount" numFmtId="0">
      <sharedItems containsSemiMixedTypes="0" containsString="0" containsNumber="1" minValue="0" maxValue="581.765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UST0188"/>
    <s v="Consumer"/>
    <x v="0"/>
    <s v="Office Supplies"/>
    <x v="0"/>
    <n v="1"/>
    <n v="14.59"/>
    <x v="0"/>
    <x v="0"/>
    <n v="1.32"/>
  </r>
  <r>
    <x v="1"/>
    <x v="0"/>
    <s v="CUST0156"/>
    <s v="Consumer"/>
    <x v="1"/>
    <s v="Furniture"/>
    <x v="1"/>
    <n v="3"/>
    <n v="196.51"/>
    <x v="1"/>
    <x v="1"/>
    <n v="30.16"/>
  </r>
  <r>
    <x v="2"/>
    <x v="0"/>
    <s v="CUST0063"/>
    <s v="Small Business"/>
    <x v="2"/>
    <s v="Technology"/>
    <x v="2"/>
    <n v="3"/>
    <n v="72.73"/>
    <x v="2"/>
    <x v="2"/>
    <n v="20.69"/>
  </r>
  <r>
    <x v="3"/>
    <x v="0"/>
    <s v="CUST0245"/>
    <s v="Small Business"/>
    <x v="3"/>
    <s v="Furniture"/>
    <x v="3"/>
    <n v="1"/>
    <n v="38.24"/>
    <x v="3"/>
    <x v="3"/>
    <n v="4.1500000000000004"/>
  </r>
  <r>
    <x v="4"/>
    <x v="0"/>
    <s v="CUST0251"/>
    <s v="Consumer"/>
    <x v="2"/>
    <s v="Technology"/>
    <x v="0"/>
    <n v="2"/>
    <n v="76.98"/>
    <x v="2"/>
    <x v="4"/>
    <n v="17.079999999999998"/>
  </r>
  <r>
    <x v="5"/>
    <x v="0"/>
    <s v="CUST0074"/>
    <s v="Consumer"/>
    <x v="4"/>
    <s v="Technology"/>
    <x v="1"/>
    <n v="1"/>
    <n v="223.2"/>
    <x v="2"/>
    <x v="5"/>
    <n v="31.37"/>
  </r>
  <r>
    <x v="6"/>
    <x v="0"/>
    <s v="CUST0132"/>
    <s v="Corporate"/>
    <x v="5"/>
    <s v="Lifestyle"/>
    <x v="0"/>
    <n v="3"/>
    <n v="55"/>
    <x v="4"/>
    <x v="6"/>
    <n v="7.81"/>
  </r>
  <r>
    <x v="7"/>
    <x v="1"/>
    <s v="CUST0167"/>
    <s v="Consumer"/>
    <x v="3"/>
    <s v="Furniture"/>
    <x v="1"/>
    <n v="3"/>
    <n v="43.31"/>
    <x v="3"/>
    <x v="7"/>
    <n v="19.260000000000002"/>
  </r>
  <r>
    <x v="8"/>
    <x v="1"/>
    <s v="CUST0207"/>
    <s v="Consumer"/>
    <x v="0"/>
    <s v="Office Supplies"/>
    <x v="2"/>
    <n v="2"/>
    <n v="14.91"/>
    <x v="0"/>
    <x v="8"/>
    <n v="1.85"/>
  </r>
  <r>
    <x v="9"/>
    <x v="1"/>
    <s v="CUST0025"/>
    <s v="Consumer"/>
    <x v="3"/>
    <s v="Furniture"/>
    <x v="1"/>
    <n v="5"/>
    <n v="43.8"/>
    <x v="1"/>
    <x v="9"/>
    <n v="38.36"/>
  </r>
  <r>
    <x v="10"/>
    <x v="1"/>
    <s v="CUST0241"/>
    <s v="Small Business"/>
    <x v="6"/>
    <s v="Technology"/>
    <x v="2"/>
    <n v="2"/>
    <n v="1018.29"/>
    <x v="3"/>
    <x v="10"/>
    <n v="488.69"/>
  </r>
  <r>
    <x v="11"/>
    <x v="1"/>
    <s v="CUST0166"/>
    <s v="Small Business"/>
    <x v="7"/>
    <s v="Technology"/>
    <x v="0"/>
    <n v="2"/>
    <n v="26.72"/>
    <x v="0"/>
    <x v="11"/>
    <n v="9.6"/>
  </r>
  <r>
    <x v="12"/>
    <x v="2"/>
    <s v="CUST0156"/>
    <s v="Consumer"/>
    <x v="8"/>
    <s v="Furniture"/>
    <x v="0"/>
    <n v="1"/>
    <n v="361.76"/>
    <x v="1"/>
    <x v="12"/>
    <n v="60.55"/>
  </r>
  <r>
    <x v="13"/>
    <x v="2"/>
    <s v="CUST0032"/>
    <s v="Corporate"/>
    <x v="6"/>
    <s v="Technology"/>
    <x v="1"/>
    <n v="2"/>
    <n v="949.29"/>
    <x v="1"/>
    <x v="13"/>
    <n v="209.69"/>
  </r>
  <r>
    <x v="14"/>
    <x v="2"/>
    <s v="CUST0046"/>
    <s v="Small Business"/>
    <x v="0"/>
    <s v="Office Supplies"/>
    <x v="0"/>
    <n v="1"/>
    <n v="14.63"/>
    <x v="0"/>
    <x v="14"/>
    <n v="2.87"/>
  </r>
  <r>
    <x v="15"/>
    <x v="3"/>
    <s v="CUST0037"/>
    <s v="Consumer"/>
    <x v="2"/>
    <s v="Technology"/>
    <x v="2"/>
    <n v="5"/>
    <n v="71.69"/>
    <x v="2"/>
    <x v="15"/>
    <n v="82.95"/>
  </r>
  <r>
    <x v="16"/>
    <x v="3"/>
    <s v="CUST0017"/>
    <s v="Consumer"/>
    <x v="9"/>
    <s v="Office Supplies"/>
    <x v="2"/>
    <n v="2"/>
    <n v="18.52"/>
    <x v="0"/>
    <x v="16"/>
    <n v="5.52"/>
  </r>
  <r>
    <x v="17"/>
    <x v="3"/>
    <s v="CUST0251"/>
    <s v="Corporate"/>
    <x v="8"/>
    <s v="Furniture"/>
    <x v="0"/>
    <n v="4"/>
    <n v="312.38"/>
    <x v="0"/>
    <x v="17"/>
    <n v="63.91"/>
  </r>
  <r>
    <x v="18"/>
    <x v="4"/>
    <s v="CUST0130"/>
    <s v="Corporate"/>
    <x v="5"/>
    <s v="Lifestyle"/>
    <x v="3"/>
    <n v="4"/>
    <n v="55.36"/>
    <x v="0"/>
    <x v="18"/>
    <n v="24.89"/>
  </r>
  <r>
    <x v="19"/>
    <x v="4"/>
    <s v="CUST0153"/>
    <s v="Corporate"/>
    <x v="7"/>
    <s v="Technology"/>
    <x v="1"/>
    <n v="1"/>
    <n v="29.75"/>
    <x v="1"/>
    <x v="19"/>
    <n v="1.57"/>
  </r>
  <r>
    <x v="20"/>
    <x v="5"/>
    <s v="CUST0273"/>
    <s v="Small Business"/>
    <x v="5"/>
    <s v="Lifestyle"/>
    <x v="0"/>
    <n v="2"/>
    <n v="53.72"/>
    <x v="3"/>
    <x v="20"/>
    <n v="18.149999999999999"/>
  </r>
  <r>
    <x v="21"/>
    <x v="6"/>
    <s v="CUST0084"/>
    <s v="Corporate"/>
    <x v="7"/>
    <s v="Technology"/>
    <x v="3"/>
    <n v="1"/>
    <n v="25.99"/>
    <x v="4"/>
    <x v="21"/>
    <n v="1.79"/>
  </r>
  <r>
    <x v="22"/>
    <x v="7"/>
    <s v="CUST0145"/>
    <s v="Consumer"/>
    <x v="9"/>
    <s v="Office Supplies"/>
    <x v="3"/>
    <n v="1"/>
    <n v="16.48"/>
    <x v="2"/>
    <x v="22"/>
    <n v="4.07"/>
  </r>
  <r>
    <x v="23"/>
    <x v="7"/>
    <s v="CUST0119"/>
    <s v="Corporate"/>
    <x v="7"/>
    <s v="Technology"/>
    <x v="3"/>
    <n v="1"/>
    <n v="30.59"/>
    <x v="3"/>
    <x v="23"/>
    <n v="4.01"/>
  </r>
  <r>
    <x v="24"/>
    <x v="8"/>
    <s v="CUST0111"/>
    <s v="Corporate"/>
    <x v="8"/>
    <s v="Furniture"/>
    <x v="1"/>
    <n v="1"/>
    <n v="359.53"/>
    <x v="1"/>
    <x v="24"/>
    <n v="50.4"/>
  </r>
  <r>
    <x v="25"/>
    <x v="8"/>
    <s v="CUST0065"/>
    <s v="Corporate"/>
    <x v="6"/>
    <s v="Technology"/>
    <x v="2"/>
    <n v="2"/>
    <n v="860.57"/>
    <x v="0"/>
    <x v="25"/>
    <n v="280.33999999999997"/>
  </r>
  <r>
    <x v="26"/>
    <x v="8"/>
    <s v="CUST0172"/>
    <s v="Small Business"/>
    <x v="8"/>
    <s v="Furniture"/>
    <x v="0"/>
    <n v="2"/>
    <n v="323.66000000000003"/>
    <x v="2"/>
    <x v="26"/>
    <n v="101.11"/>
  </r>
  <r>
    <x v="27"/>
    <x v="8"/>
    <s v="CUST0037"/>
    <s v="Corporate"/>
    <x v="0"/>
    <s v="Office Supplies"/>
    <x v="2"/>
    <n v="1"/>
    <n v="12.61"/>
    <x v="3"/>
    <x v="27"/>
    <n v="2.76"/>
  </r>
  <r>
    <x v="28"/>
    <x v="9"/>
    <s v="CUST0077"/>
    <s v="Consumer"/>
    <x v="7"/>
    <s v="Technology"/>
    <x v="0"/>
    <n v="1"/>
    <n v="30.46"/>
    <x v="0"/>
    <x v="28"/>
    <n v="5.43"/>
  </r>
  <r>
    <x v="29"/>
    <x v="9"/>
    <s v="CUST0036"/>
    <s v="Consumer"/>
    <x v="1"/>
    <s v="Furniture"/>
    <x v="2"/>
    <n v="4"/>
    <n v="195.5"/>
    <x v="1"/>
    <x v="29"/>
    <n v="68.19"/>
  </r>
  <r>
    <x v="30"/>
    <x v="9"/>
    <s v="CUST0137"/>
    <s v="Consumer"/>
    <x v="10"/>
    <s v="Office Supplies"/>
    <x v="3"/>
    <n v="2"/>
    <n v="8.1199999999999992"/>
    <x v="0"/>
    <x v="30"/>
    <n v="2.7"/>
  </r>
  <r>
    <x v="31"/>
    <x v="9"/>
    <s v="CUST0004"/>
    <s v="Consumer"/>
    <x v="8"/>
    <s v="Furniture"/>
    <x v="1"/>
    <n v="1"/>
    <n v="330.21"/>
    <x v="0"/>
    <x v="31"/>
    <n v="67.290000000000006"/>
  </r>
  <r>
    <x v="32"/>
    <x v="9"/>
    <s v="CUST0036"/>
    <s v="Consumer"/>
    <x v="0"/>
    <s v="Office Supplies"/>
    <x v="1"/>
    <n v="4"/>
    <n v="13.23"/>
    <x v="3"/>
    <x v="32"/>
    <n v="9.33"/>
  </r>
  <r>
    <x v="33"/>
    <x v="9"/>
    <s v="CUST0026"/>
    <s v="Small Business"/>
    <x v="7"/>
    <s v="Technology"/>
    <x v="0"/>
    <n v="1"/>
    <n v="27.04"/>
    <x v="1"/>
    <x v="33"/>
    <n v="1.22"/>
  </r>
  <r>
    <x v="34"/>
    <x v="10"/>
    <s v="CUST0185"/>
    <s v="Consumer"/>
    <x v="4"/>
    <s v="Technology"/>
    <x v="3"/>
    <n v="2"/>
    <n v="198.16"/>
    <x v="3"/>
    <x v="34"/>
    <n v="105.85"/>
  </r>
  <r>
    <x v="35"/>
    <x v="10"/>
    <s v="CUST0042"/>
    <s v="Corporate"/>
    <x v="9"/>
    <s v="Office Supplies"/>
    <x v="0"/>
    <n v="1"/>
    <n v="17.190000000000001"/>
    <x v="3"/>
    <x v="35"/>
    <n v="3.43"/>
  </r>
  <r>
    <x v="36"/>
    <x v="10"/>
    <s v="CUST0160"/>
    <s v="Corporate"/>
    <x v="10"/>
    <s v="Office Supplies"/>
    <x v="2"/>
    <n v="1"/>
    <n v="8.2899999999999991"/>
    <x v="2"/>
    <x v="36"/>
    <n v="0.89"/>
  </r>
  <r>
    <x v="37"/>
    <x v="10"/>
    <s v="CUST0268"/>
    <s v="Consumer"/>
    <x v="8"/>
    <s v="Furniture"/>
    <x v="0"/>
    <n v="1"/>
    <n v="324.35000000000002"/>
    <x v="3"/>
    <x v="37"/>
    <n v="75.41"/>
  </r>
  <r>
    <x v="38"/>
    <x v="11"/>
    <s v="CUST0262"/>
    <s v="Corporate"/>
    <x v="7"/>
    <s v="Technology"/>
    <x v="0"/>
    <n v="1"/>
    <n v="30.63"/>
    <x v="3"/>
    <x v="38"/>
    <n v="2.59"/>
  </r>
  <r>
    <x v="39"/>
    <x v="11"/>
    <s v="CUST0045"/>
    <s v="Corporate"/>
    <x v="11"/>
    <s v="Lifestyle"/>
    <x v="1"/>
    <n v="4"/>
    <n v="22.21"/>
    <x v="0"/>
    <x v="39"/>
    <n v="17.739999999999998"/>
  </r>
  <r>
    <x v="40"/>
    <x v="11"/>
    <s v="CUST0183"/>
    <s v="Consumer"/>
    <x v="3"/>
    <s v="Furniture"/>
    <x v="1"/>
    <n v="2"/>
    <n v="41.75"/>
    <x v="3"/>
    <x v="40"/>
    <n v="19.11"/>
  </r>
  <r>
    <x v="41"/>
    <x v="11"/>
    <s v="CUST0058"/>
    <s v="Consumer"/>
    <x v="1"/>
    <s v="Furniture"/>
    <x v="2"/>
    <n v="3"/>
    <n v="195.67"/>
    <x v="3"/>
    <x v="41"/>
    <n v="135.18"/>
  </r>
  <r>
    <x v="42"/>
    <x v="12"/>
    <s v="CUST0117"/>
    <s v="Corporate"/>
    <x v="4"/>
    <s v="Technology"/>
    <x v="2"/>
    <n v="1"/>
    <n v="191.07"/>
    <x v="1"/>
    <x v="42"/>
    <n v="13.57"/>
  </r>
  <r>
    <x v="43"/>
    <x v="12"/>
    <s v="CUST0038"/>
    <s v="Small Business"/>
    <x v="6"/>
    <s v="Technology"/>
    <x v="2"/>
    <n v="1"/>
    <n v="944.46"/>
    <x v="2"/>
    <x v="43"/>
    <n v="179.01"/>
  </r>
  <r>
    <x v="44"/>
    <x v="12"/>
    <s v="CUST0109"/>
    <s v="Small Business"/>
    <x v="5"/>
    <s v="Lifestyle"/>
    <x v="3"/>
    <n v="1"/>
    <n v="52.91"/>
    <x v="0"/>
    <x v="44"/>
    <n v="10.77"/>
  </r>
  <r>
    <x v="45"/>
    <x v="12"/>
    <s v="CUST0020"/>
    <s v="Consumer"/>
    <x v="10"/>
    <s v="Office Supplies"/>
    <x v="1"/>
    <n v="3"/>
    <n v="9.44"/>
    <x v="3"/>
    <x v="45"/>
    <n v="3.41"/>
  </r>
  <r>
    <x v="46"/>
    <x v="12"/>
    <s v="CUST0041"/>
    <s v="Consumer"/>
    <x v="0"/>
    <s v="Office Supplies"/>
    <x v="2"/>
    <n v="2"/>
    <n v="13.16"/>
    <x v="2"/>
    <x v="46"/>
    <n v="2.27"/>
  </r>
  <r>
    <x v="47"/>
    <x v="12"/>
    <s v="CUST0140"/>
    <s v="Small Business"/>
    <x v="0"/>
    <s v="Office Supplies"/>
    <x v="0"/>
    <n v="3"/>
    <n v="13.16"/>
    <x v="3"/>
    <x v="47"/>
    <n v="5.25"/>
  </r>
  <r>
    <x v="48"/>
    <x v="13"/>
    <s v="CUST0138"/>
    <s v="Corporate"/>
    <x v="3"/>
    <s v="Furniture"/>
    <x v="1"/>
    <n v="1"/>
    <n v="41.84"/>
    <x v="2"/>
    <x v="48"/>
    <n v="2.96"/>
  </r>
  <r>
    <x v="49"/>
    <x v="13"/>
    <s v="CUST0257"/>
    <s v="Corporate"/>
    <x v="9"/>
    <s v="Office Supplies"/>
    <x v="2"/>
    <n v="1"/>
    <n v="18.809999999999999"/>
    <x v="3"/>
    <x v="49"/>
    <n v="1.96"/>
  </r>
  <r>
    <x v="50"/>
    <x v="14"/>
    <s v="CUST0270"/>
    <s v="Small Business"/>
    <x v="10"/>
    <s v="Office Supplies"/>
    <x v="3"/>
    <n v="1"/>
    <n v="9.33"/>
    <x v="0"/>
    <x v="50"/>
    <n v="1.75"/>
  </r>
  <r>
    <x v="51"/>
    <x v="14"/>
    <s v="CUST0231"/>
    <s v="Consumer"/>
    <x v="9"/>
    <s v="Office Supplies"/>
    <x v="3"/>
    <n v="1"/>
    <n v="17.329999999999998"/>
    <x v="0"/>
    <x v="51"/>
    <n v="2.39"/>
  </r>
  <r>
    <x v="52"/>
    <x v="15"/>
    <s v="CUST0255"/>
    <s v="Corporate"/>
    <x v="5"/>
    <s v="Lifestyle"/>
    <x v="1"/>
    <n v="3"/>
    <n v="55.75"/>
    <x v="3"/>
    <x v="52"/>
    <n v="46.21"/>
  </r>
  <r>
    <x v="53"/>
    <x v="15"/>
    <s v="CUST0132"/>
    <s v="Consumer"/>
    <x v="2"/>
    <s v="Technology"/>
    <x v="3"/>
    <n v="2"/>
    <n v="81.59"/>
    <x v="3"/>
    <x v="53"/>
    <n v="37.700000000000003"/>
  </r>
  <r>
    <x v="54"/>
    <x v="15"/>
    <s v="CUST0165"/>
    <s v="Consumer"/>
    <x v="0"/>
    <s v="Office Supplies"/>
    <x v="0"/>
    <n v="2"/>
    <n v="12.97"/>
    <x v="3"/>
    <x v="54"/>
    <n v="6.67"/>
  </r>
  <r>
    <x v="55"/>
    <x v="15"/>
    <s v="CUST0033"/>
    <s v="Small Business"/>
    <x v="0"/>
    <s v="Office Supplies"/>
    <x v="2"/>
    <n v="4"/>
    <n v="14.84"/>
    <x v="0"/>
    <x v="55"/>
    <n v="10.25"/>
  </r>
  <r>
    <x v="56"/>
    <x v="15"/>
    <s v="CUST0065"/>
    <s v="Consumer"/>
    <x v="5"/>
    <s v="Lifestyle"/>
    <x v="1"/>
    <n v="1"/>
    <n v="59.94"/>
    <x v="3"/>
    <x v="56"/>
    <n v="15.34"/>
  </r>
  <r>
    <x v="57"/>
    <x v="16"/>
    <s v="CUST0171"/>
    <s v="Corporate"/>
    <x v="3"/>
    <s v="Furniture"/>
    <x v="3"/>
    <n v="3"/>
    <n v="45.79"/>
    <x v="0"/>
    <x v="57"/>
    <n v="26.1"/>
  </r>
  <r>
    <x v="58"/>
    <x v="17"/>
    <s v="CUST0053"/>
    <s v="Corporate"/>
    <x v="5"/>
    <s v="Lifestyle"/>
    <x v="2"/>
    <n v="1"/>
    <n v="55.61"/>
    <x v="3"/>
    <x v="58"/>
    <n v="10.94"/>
  </r>
  <r>
    <x v="59"/>
    <x v="17"/>
    <s v="CUST0117"/>
    <s v="Consumer"/>
    <x v="2"/>
    <s v="Technology"/>
    <x v="2"/>
    <n v="3"/>
    <n v="67.88"/>
    <x v="2"/>
    <x v="59"/>
    <n v="48.57"/>
  </r>
  <r>
    <x v="60"/>
    <x v="17"/>
    <s v="CUST0038"/>
    <s v="Corporate"/>
    <x v="11"/>
    <s v="Lifestyle"/>
    <x v="3"/>
    <n v="4"/>
    <n v="22.96"/>
    <x v="2"/>
    <x v="60"/>
    <n v="12.76"/>
  </r>
  <r>
    <x v="61"/>
    <x v="17"/>
    <s v="CUST0088"/>
    <s v="Small Business"/>
    <x v="7"/>
    <s v="Technology"/>
    <x v="0"/>
    <n v="2"/>
    <n v="28.51"/>
    <x v="3"/>
    <x v="61"/>
    <n v="9.2100000000000009"/>
  </r>
  <r>
    <x v="62"/>
    <x v="17"/>
    <s v="CUST0127"/>
    <s v="Small Business"/>
    <x v="10"/>
    <s v="Office Supplies"/>
    <x v="0"/>
    <n v="4"/>
    <n v="8.48"/>
    <x v="3"/>
    <x v="62"/>
    <n v="7.26"/>
  </r>
  <r>
    <x v="63"/>
    <x v="17"/>
    <s v="CUST0245"/>
    <s v="Corporate"/>
    <x v="3"/>
    <s v="Furniture"/>
    <x v="0"/>
    <n v="2"/>
    <n v="41.37"/>
    <x v="0"/>
    <x v="63"/>
    <n v="11.08"/>
  </r>
  <r>
    <x v="64"/>
    <x v="17"/>
    <s v="CUST0232"/>
    <s v="Consumer"/>
    <x v="11"/>
    <s v="Lifestyle"/>
    <x v="1"/>
    <n v="1"/>
    <n v="22.62"/>
    <x v="0"/>
    <x v="64"/>
    <n v="2.85"/>
  </r>
  <r>
    <x v="65"/>
    <x v="17"/>
    <s v="CUST0239"/>
    <s v="Small Business"/>
    <x v="8"/>
    <s v="Furniture"/>
    <x v="2"/>
    <n v="1"/>
    <n v="342.08"/>
    <x v="4"/>
    <x v="65"/>
    <n v="48.78"/>
  </r>
  <r>
    <x v="66"/>
    <x v="18"/>
    <s v="CUST0081"/>
    <s v="Consumer"/>
    <x v="1"/>
    <s v="Furniture"/>
    <x v="3"/>
    <n v="4"/>
    <n v="188.63"/>
    <x v="4"/>
    <x v="66"/>
    <n v="55.91"/>
  </r>
  <r>
    <x v="67"/>
    <x v="18"/>
    <s v="CUST0145"/>
    <s v="Corporate"/>
    <x v="11"/>
    <s v="Lifestyle"/>
    <x v="3"/>
    <n v="2"/>
    <n v="22.8"/>
    <x v="3"/>
    <x v="67"/>
    <n v="12.22"/>
  </r>
  <r>
    <x v="68"/>
    <x v="19"/>
    <s v="CUST0161"/>
    <s v="Consumer"/>
    <x v="2"/>
    <s v="Technology"/>
    <x v="2"/>
    <n v="1"/>
    <n v="77.59"/>
    <x v="2"/>
    <x v="68"/>
    <n v="15.23"/>
  </r>
  <r>
    <x v="69"/>
    <x v="20"/>
    <s v="CUST0068"/>
    <s v="Corporate"/>
    <x v="2"/>
    <s v="Technology"/>
    <x v="0"/>
    <n v="1"/>
    <n v="68.790000000000006"/>
    <x v="3"/>
    <x v="69"/>
    <n v="15.33"/>
  </r>
  <r>
    <x v="70"/>
    <x v="20"/>
    <s v="CUST0282"/>
    <s v="Consumer"/>
    <x v="1"/>
    <s v="Furniture"/>
    <x v="3"/>
    <n v="1"/>
    <n v="169.54"/>
    <x v="1"/>
    <x v="70"/>
    <n v="14.81"/>
  </r>
  <r>
    <x v="71"/>
    <x v="21"/>
    <s v="CUST0181"/>
    <s v="Consumer"/>
    <x v="11"/>
    <s v="Lifestyle"/>
    <x v="2"/>
    <n v="2"/>
    <n v="22.85"/>
    <x v="0"/>
    <x v="71"/>
    <n v="10.66"/>
  </r>
  <r>
    <x v="72"/>
    <x v="21"/>
    <s v="CUST0150"/>
    <s v="Small Business"/>
    <x v="7"/>
    <s v="Technology"/>
    <x v="2"/>
    <n v="1"/>
    <n v="26.47"/>
    <x v="3"/>
    <x v="72"/>
    <n v="3.91"/>
  </r>
  <r>
    <x v="73"/>
    <x v="22"/>
    <s v="CUST0108"/>
    <s v="Small Business"/>
    <x v="9"/>
    <s v="Office Supplies"/>
    <x v="1"/>
    <n v="1"/>
    <n v="18.16"/>
    <x v="3"/>
    <x v="73"/>
    <n v="4.0199999999999996"/>
  </r>
  <r>
    <x v="74"/>
    <x v="22"/>
    <s v="CUST0065"/>
    <s v="Consumer"/>
    <x v="8"/>
    <s v="Furniture"/>
    <x v="1"/>
    <n v="1"/>
    <n v="336.2"/>
    <x v="3"/>
    <x v="74"/>
    <n v="70.3"/>
  </r>
  <r>
    <x v="75"/>
    <x v="22"/>
    <s v="CUST0079"/>
    <s v="Small Business"/>
    <x v="0"/>
    <s v="Office Supplies"/>
    <x v="2"/>
    <n v="1"/>
    <n v="12.88"/>
    <x v="3"/>
    <x v="75"/>
    <n v="1.06"/>
  </r>
  <r>
    <x v="76"/>
    <x v="22"/>
    <s v="CUST0021"/>
    <s v="Corporate"/>
    <x v="1"/>
    <s v="Furniture"/>
    <x v="1"/>
    <n v="5"/>
    <n v="196.23"/>
    <x v="0"/>
    <x v="76"/>
    <n v="177.52"/>
  </r>
  <r>
    <x v="77"/>
    <x v="22"/>
    <s v="CUST0280"/>
    <s v="Corporate"/>
    <x v="5"/>
    <s v="Lifestyle"/>
    <x v="1"/>
    <n v="1"/>
    <n v="58.14"/>
    <x v="0"/>
    <x v="77"/>
    <n v="5.66"/>
  </r>
  <r>
    <x v="78"/>
    <x v="22"/>
    <s v="CUST0051"/>
    <s v="Consumer"/>
    <x v="11"/>
    <s v="Lifestyle"/>
    <x v="2"/>
    <n v="1"/>
    <n v="23.01"/>
    <x v="3"/>
    <x v="78"/>
    <n v="2.76"/>
  </r>
  <r>
    <x v="79"/>
    <x v="23"/>
    <s v="CUST0245"/>
    <s v="Corporate"/>
    <x v="4"/>
    <s v="Technology"/>
    <x v="1"/>
    <n v="1"/>
    <n v="198.73"/>
    <x v="2"/>
    <x v="79"/>
    <n v="19.38"/>
  </r>
  <r>
    <x v="80"/>
    <x v="23"/>
    <s v="CUST0216"/>
    <s v="Consumer"/>
    <x v="4"/>
    <s v="Technology"/>
    <x v="1"/>
    <n v="5"/>
    <n v="213.35"/>
    <x v="3"/>
    <x v="80"/>
    <n v="120.86"/>
  </r>
  <r>
    <x v="81"/>
    <x v="23"/>
    <s v="CUST0231"/>
    <s v="Consumer"/>
    <x v="1"/>
    <s v="Furniture"/>
    <x v="2"/>
    <n v="1"/>
    <n v="187.9"/>
    <x v="3"/>
    <x v="81"/>
    <n v="47.15"/>
  </r>
  <r>
    <x v="82"/>
    <x v="24"/>
    <s v="CUST0047"/>
    <s v="Small Business"/>
    <x v="2"/>
    <s v="Technology"/>
    <x v="3"/>
    <n v="3"/>
    <n v="68.55"/>
    <x v="3"/>
    <x v="82"/>
    <n v="18.78"/>
  </r>
  <r>
    <x v="83"/>
    <x v="24"/>
    <s v="CUST0120"/>
    <s v="Corporate"/>
    <x v="11"/>
    <s v="Lifestyle"/>
    <x v="0"/>
    <n v="2"/>
    <n v="20.91"/>
    <x v="0"/>
    <x v="83"/>
    <n v="2.11"/>
  </r>
  <r>
    <x v="84"/>
    <x v="24"/>
    <s v="CUST0277"/>
    <s v="Consumer"/>
    <x v="5"/>
    <s v="Lifestyle"/>
    <x v="0"/>
    <n v="1"/>
    <n v="58.56"/>
    <x v="4"/>
    <x v="84"/>
    <n v="8.16"/>
  </r>
  <r>
    <x v="85"/>
    <x v="24"/>
    <s v="CUST0194"/>
    <s v="Consumer"/>
    <x v="1"/>
    <s v="Furniture"/>
    <x v="1"/>
    <n v="3"/>
    <n v="185.71"/>
    <x v="0"/>
    <x v="85"/>
    <n v="103.06"/>
  </r>
  <r>
    <x v="86"/>
    <x v="24"/>
    <s v="CUST0064"/>
    <s v="Consumer"/>
    <x v="2"/>
    <s v="Technology"/>
    <x v="1"/>
    <n v="1"/>
    <n v="80.02"/>
    <x v="3"/>
    <x v="86"/>
    <n v="22"/>
  </r>
  <r>
    <x v="87"/>
    <x v="24"/>
    <s v="CUST0225"/>
    <s v="Corporate"/>
    <x v="9"/>
    <s v="Office Supplies"/>
    <x v="3"/>
    <n v="1"/>
    <n v="16.29"/>
    <x v="0"/>
    <x v="87"/>
    <n v="2.46"/>
  </r>
  <r>
    <x v="88"/>
    <x v="24"/>
    <s v="CUST0185"/>
    <s v="Corporate"/>
    <x v="1"/>
    <s v="Furniture"/>
    <x v="2"/>
    <n v="2"/>
    <n v="171.84"/>
    <x v="3"/>
    <x v="88"/>
    <n v="91.05"/>
  </r>
  <r>
    <x v="89"/>
    <x v="25"/>
    <s v="CUST0288"/>
    <s v="Small Business"/>
    <x v="7"/>
    <s v="Technology"/>
    <x v="0"/>
    <n v="2"/>
    <n v="26.12"/>
    <x v="2"/>
    <x v="89"/>
    <n v="11.23"/>
  </r>
  <r>
    <x v="90"/>
    <x v="25"/>
    <s v="CUST0165"/>
    <s v="Small Business"/>
    <x v="3"/>
    <s v="Furniture"/>
    <x v="2"/>
    <n v="2"/>
    <n v="43.8"/>
    <x v="3"/>
    <x v="90"/>
    <n v="17.93"/>
  </r>
  <r>
    <x v="91"/>
    <x v="25"/>
    <s v="CUST0044"/>
    <s v="Consumer"/>
    <x v="1"/>
    <s v="Furniture"/>
    <x v="0"/>
    <n v="2"/>
    <n v="173.96"/>
    <x v="0"/>
    <x v="91"/>
    <n v="74.510000000000005"/>
  </r>
  <r>
    <x v="92"/>
    <x v="26"/>
    <s v="CUST0281"/>
    <s v="Consumer"/>
    <x v="8"/>
    <s v="Furniture"/>
    <x v="0"/>
    <n v="1"/>
    <n v="361.61"/>
    <x v="0"/>
    <x v="92"/>
    <n v="58.69"/>
  </r>
  <r>
    <x v="93"/>
    <x v="26"/>
    <s v="CUST0116"/>
    <s v="Small Business"/>
    <x v="8"/>
    <s v="Furniture"/>
    <x v="0"/>
    <n v="1"/>
    <n v="335.56"/>
    <x v="2"/>
    <x v="93"/>
    <n v="81.66"/>
  </r>
  <r>
    <x v="94"/>
    <x v="27"/>
    <s v="CUST0049"/>
    <s v="Consumer"/>
    <x v="8"/>
    <s v="Furniture"/>
    <x v="1"/>
    <n v="3"/>
    <n v="355.75"/>
    <x v="3"/>
    <x v="94"/>
    <n v="146.72999999999999"/>
  </r>
  <r>
    <x v="95"/>
    <x v="27"/>
    <s v="CUST0026"/>
    <s v="Consumer"/>
    <x v="9"/>
    <s v="Office Supplies"/>
    <x v="1"/>
    <n v="2"/>
    <n v="18.309999999999999"/>
    <x v="0"/>
    <x v="95"/>
    <n v="8.49"/>
  </r>
  <r>
    <x v="96"/>
    <x v="27"/>
    <s v="CUST0015"/>
    <s v="Corporate"/>
    <x v="5"/>
    <s v="Lifestyle"/>
    <x v="1"/>
    <n v="1"/>
    <n v="53.2"/>
    <x v="3"/>
    <x v="96"/>
    <n v="10.3"/>
  </r>
  <r>
    <x v="97"/>
    <x v="27"/>
    <s v="CUST0129"/>
    <s v="Corporate"/>
    <x v="1"/>
    <s v="Furniture"/>
    <x v="3"/>
    <n v="2"/>
    <n v="163.98"/>
    <x v="0"/>
    <x v="97"/>
    <n v="68.489999999999995"/>
  </r>
  <r>
    <x v="98"/>
    <x v="27"/>
    <s v="CUST0239"/>
    <s v="Corporate"/>
    <x v="3"/>
    <s v="Furniture"/>
    <x v="1"/>
    <n v="1"/>
    <n v="45.5"/>
    <x v="3"/>
    <x v="98"/>
    <n v="8.74"/>
  </r>
  <r>
    <x v="99"/>
    <x v="28"/>
    <s v="CUST0193"/>
    <s v="Small Business"/>
    <x v="9"/>
    <s v="Office Supplies"/>
    <x v="3"/>
    <n v="1"/>
    <n v="16.46"/>
    <x v="0"/>
    <x v="99"/>
    <n v="3.05"/>
  </r>
  <r>
    <x v="100"/>
    <x v="28"/>
    <s v="CUST0242"/>
    <s v="Consumer"/>
    <x v="3"/>
    <s v="Furniture"/>
    <x v="1"/>
    <n v="2"/>
    <n v="44.84"/>
    <x v="1"/>
    <x v="100"/>
    <n v="16.260000000000002"/>
  </r>
  <r>
    <x v="101"/>
    <x v="28"/>
    <s v="CUST0031"/>
    <s v="Small Business"/>
    <x v="3"/>
    <s v="Furniture"/>
    <x v="0"/>
    <n v="5"/>
    <n v="41.98"/>
    <x v="3"/>
    <x v="101"/>
    <n v="25.78"/>
  </r>
  <r>
    <x v="102"/>
    <x v="28"/>
    <s v="CUST0036"/>
    <s v="Small Business"/>
    <x v="8"/>
    <s v="Furniture"/>
    <x v="3"/>
    <n v="4"/>
    <n v="323.23"/>
    <x v="1"/>
    <x v="102"/>
    <n v="101.68"/>
  </r>
  <r>
    <x v="103"/>
    <x v="29"/>
    <s v="CUST0254"/>
    <s v="Consumer"/>
    <x v="0"/>
    <s v="Office Supplies"/>
    <x v="3"/>
    <n v="2"/>
    <n v="12.68"/>
    <x v="3"/>
    <x v="103"/>
    <n v="6.11"/>
  </r>
  <r>
    <x v="104"/>
    <x v="29"/>
    <s v="CUST0087"/>
    <s v="Corporate"/>
    <x v="8"/>
    <s v="Furniture"/>
    <x v="0"/>
    <n v="3"/>
    <n v="315.29000000000002"/>
    <x v="0"/>
    <x v="104"/>
    <n v="213.93"/>
  </r>
  <r>
    <x v="105"/>
    <x v="29"/>
    <s v="CUST0003"/>
    <s v="Small Business"/>
    <x v="3"/>
    <s v="Furniture"/>
    <x v="1"/>
    <n v="2"/>
    <n v="42.49"/>
    <x v="3"/>
    <x v="105"/>
    <n v="20.59"/>
  </r>
  <r>
    <x v="106"/>
    <x v="29"/>
    <s v="CUST0042"/>
    <s v="Corporate"/>
    <x v="4"/>
    <s v="Technology"/>
    <x v="0"/>
    <n v="1"/>
    <n v="198.8"/>
    <x v="0"/>
    <x v="106"/>
    <n v="32"/>
  </r>
  <r>
    <x v="107"/>
    <x v="29"/>
    <s v="CUST0285"/>
    <s v="Consumer"/>
    <x v="9"/>
    <s v="Office Supplies"/>
    <x v="2"/>
    <n v="5"/>
    <n v="19.399999999999999"/>
    <x v="3"/>
    <x v="107"/>
    <n v="19.46"/>
  </r>
  <r>
    <x v="108"/>
    <x v="30"/>
    <s v="CUST0231"/>
    <s v="Small Business"/>
    <x v="6"/>
    <s v="Technology"/>
    <x v="0"/>
    <n v="1"/>
    <n v="945.66"/>
    <x v="0"/>
    <x v="108"/>
    <n v="78.64"/>
  </r>
  <r>
    <x v="109"/>
    <x v="31"/>
    <s v="CUST0260"/>
    <s v="Corporate"/>
    <x v="10"/>
    <s v="Office Supplies"/>
    <x v="2"/>
    <n v="5"/>
    <n v="9.8699999999999992"/>
    <x v="2"/>
    <x v="109"/>
    <n v="9.44"/>
  </r>
  <r>
    <x v="110"/>
    <x v="32"/>
    <s v="CUST0048"/>
    <s v="Corporate"/>
    <x v="6"/>
    <s v="Technology"/>
    <x v="0"/>
    <n v="1"/>
    <n v="974.3"/>
    <x v="0"/>
    <x v="110"/>
    <n v="59.84"/>
  </r>
  <r>
    <x v="111"/>
    <x v="33"/>
    <s v="CUST0032"/>
    <s v="Corporate"/>
    <x v="3"/>
    <s v="Furniture"/>
    <x v="0"/>
    <n v="4"/>
    <n v="40.92"/>
    <x v="1"/>
    <x v="111"/>
    <n v="11.39"/>
  </r>
  <r>
    <x v="112"/>
    <x v="33"/>
    <s v="CUST0004"/>
    <s v="Consumer"/>
    <x v="8"/>
    <s v="Furniture"/>
    <x v="3"/>
    <n v="2"/>
    <n v="344.99"/>
    <x v="1"/>
    <x v="112"/>
    <n v="115.23"/>
  </r>
  <r>
    <x v="113"/>
    <x v="33"/>
    <s v="CUST0083"/>
    <s v="Consumer"/>
    <x v="2"/>
    <s v="Technology"/>
    <x v="2"/>
    <n v="2"/>
    <n v="78.599999999999994"/>
    <x v="3"/>
    <x v="113"/>
    <n v="41.44"/>
  </r>
  <r>
    <x v="114"/>
    <x v="33"/>
    <s v="CUST0207"/>
    <s v="Small Business"/>
    <x v="6"/>
    <s v="Technology"/>
    <x v="0"/>
    <n v="4"/>
    <n v="899.84"/>
    <x v="0"/>
    <x v="114"/>
    <n v="374.5"/>
  </r>
  <r>
    <x v="115"/>
    <x v="33"/>
    <s v="CUST0105"/>
    <s v="Consumer"/>
    <x v="2"/>
    <s v="Technology"/>
    <x v="3"/>
    <n v="4"/>
    <n v="80.81"/>
    <x v="1"/>
    <x v="115"/>
    <n v="45.17"/>
  </r>
  <r>
    <x v="116"/>
    <x v="34"/>
    <s v="CUST0130"/>
    <s v="Corporate"/>
    <x v="0"/>
    <s v="Office Supplies"/>
    <x v="1"/>
    <n v="2"/>
    <n v="13.56"/>
    <x v="2"/>
    <x v="116"/>
    <n v="4.96"/>
  </r>
  <r>
    <x v="117"/>
    <x v="34"/>
    <s v="CUST0154"/>
    <s v="Small Business"/>
    <x v="3"/>
    <s v="Furniture"/>
    <x v="0"/>
    <n v="1"/>
    <n v="38.71"/>
    <x v="0"/>
    <x v="117"/>
    <n v="8.9"/>
  </r>
  <r>
    <x v="118"/>
    <x v="35"/>
    <s v="CUST0143"/>
    <s v="Corporate"/>
    <x v="8"/>
    <s v="Furniture"/>
    <x v="3"/>
    <n v="3"/>
    <n v="322.85000000000002"/>
    <x v="2"/>
    <x v="118"/>
    <n v="174.47"/>
  </r>
  <r>
    <x v="119"/>
    <x v="35"/>
    <s v="CUST0132"/>
    <s v="Small Business"/>
    <x v="11"/>
    <s v="Lifestyle"/>
    <x v="0"/>
    <n v="1"/>
    <n v="23.16"/>
    <x v="0"/>
    <x v="119"/>
    <n v="4.24"/>
  </r>
  <r>
    <x v="120"/>
    <x v="36"/>
    <s v="CUST0075"/>
    <s v="Small Business"/>
    <x v="8"/>
    <s v="Furniture"/>
    <x v="2"/>
    <n v="1"/>
    <n v="303.97000000000003"/>
    <x v="2"/>
    <x v="120"/>
    <n v="22.13"/>
  </r>
  <r>
    <x v="121"/>
    <x v="36"/>
    <s v="CUST0031"/>
    <s v="Consumer"/>
    <x v="5"/>
    <s v="Lifestyle"/>
    <x v="0"/>
    <n v="2"/>
    <n v="59.41"/>
    <x v="2"/>
    <x v="121"/>
    <n v="28.85"/>
  </r>
  <r>
    <x v="122"/>
    <x v="36"/>
    <s v="CUST0118"/>
    <s v="Consumer"/>
    <x v="10"/>
    <s v="Office Supplies"/>
    <x v="0"/>
    <n v="3"/>
    <n v="9.1300000000000008"/>
    <x v="3"/>
    <x v="122"/>
    <n v="6.37"/>
  </r>
  <r>
    <x v="123"/>
    <x v="36"/>
    <s v="CUST0078"/>
    <s v="Small Business"/>
    <x v="5"/>
    <s v="Lifestyle"/>
    <x v="2"/>
    <n v="1"/>
    <n v="56.84"/>
    <x v="4"/>
    <x v="123"/>
    <n v="2.02"/>
  </r>
  <r>
    <x v="124"/>
    <x v="36"/>
    <s v="CUST0105"/>
    <s v="Corporate"/>
    <x v="3"/>
    <s v="Furniture"/>
    <x v="1"/>
    <n v="1"/>
    <n v="40.65"/>
    <x v="1"/>
    <x v="124"/>
    <n v="4.6100000000000003"/>
  </r>
  <r>
    <x v="125"/>
    <x v="37"/>
    <s v="CUST0082"/>
    <s v="Corporate"/>
    <x v="8"/>
    <s v="Furniture"/>
    <x v="2"/>
    <n v="1"/>
    <n v="329.59"/>
    <x v="3"/>
    <x v="125"/>
    <n v="89.75"/>
  </r>
  <r>
    <x v="126"/>
    <x v="37"/>
    <s v="CUST0253"/>
    <s v="Consumer"/>
    <x v="3"/>
    <s v="Furniture"/>
    <x v="0"/>
    <n v="3"/>
    <n v="43.17"/>
    <x v="2"/>
    <x v="126"/>
    <n v="16.399999999999999"/>
  </r>
  <r>
    <x v="127"/>
    <x v="37"/>
    <s v="CUST0119"/>
    <s v="Consumer"/>
    <x v="1"/>
    <s v="Furniture"/>
    <x v="3"/>
    <n v="2"/>
    <n v="174.83"/>
    <x v="3"/>
    <x v="127"/>
    <n v="39.36"/>
  </r>
  <r>
    <x v="128"/>
    <x v="37"/>
    <s v="CUST0206"/>
    <s v="Consumer"/>
    <x v="3"/>
    <s v="Furniture"/>
    <x v="0"/>
    <n v="1"/>
    <n v="38.11"/>
    <x v="2"/>
    <x v="128"/>
    <n v="9.09"/>
  </r>
  <r>
    <x v="129"/>
    <x v="37"/>
    <s v="CUST0151"/>
    <s v="Corporate"/>
    <x v="6"/>
    <s v="Technology"/>
    <x v="0"/>
    <n v="2"/>
    <n v="1040.9000000000001"/>
    <x v="3"/>
    <x v="129"/>
    <n v="478.06"/>
  </r>
  <r>
    <x v="130"/>
    <x v="37"/>
    <s v="CUST0268"/>
    <s v="Corporate"/>
    <x v="5"/>
    <s v="Lifestyle"/>
    <x v="3"/>
    <n v="3"/>
    <n v="58.62"/>
    <x v="2"/>
    <x v="130"/>
    <n v="44.2"/>
  </r>
  <r>
    <x v="131"/>
    <x v="37"/>
    <s v="CUST0290"/>
    <s v="Consumer"/>
    <x v="6"/>
    <s v="Technology"/>
    <x v="2"/>
    <n v="4"/>
    <n v="922.63"/>
    <x v="3"/>
    <x v="131"/>
    <n v="306.92"/>
  </r>
  <r>
    <x v="132"/>
    <x v="37"/>
    <s v="CUST0144"/>
    <s v="Corporate"/>
    <x v="7"/>
    <s v="Technology"/>
    <x v="2"/>
    <n v="3"/>
    <n v="28.23"/>
    <x v="3"/>
    <x v="132"/>
    <n v="18.559999999999999"/>
  </r>
  <r>
    <x v="133"/>
    <x v="38"/>
    <s v="CUST0111"/>
    <s v="Small Business"/>
    <x v="5"/>
    <s v="Lifestyle"/>
    <x v="2"/>
    <n v="3"/>
    <n v="58.6"/>
    <x v="1"/>
    <x v="133"/>
    <n v="31.91"/>
  </r>
  <r>
    <x v="134"/>
    <x v="38"/>
    <s v="CUST0166"/>
    <s v="Corporate"/>
    <x v="1"/>
    <s v="Furniture"/>
    <x v="0"/>
    <n v="5"/>
    <n v="175.02"/>
    <x v="1"/>
    <x v="134"/>
    <n v="33.83"/>
  </r>
  <r>
    <x v="135"/>
    <x v="38"/>
    <s v="CUST0214"/>
    <s v="Corporate"/>
    <x v="5"/>
    <s v="Lifestyle"/>
    <x v="2"/>
    <n v="1"/>
    <n v="52.92"/>
    <x v="3"/>
    <x v="135"/>
    <n v="7.68"/>
  </r>
  <r>
    <x v="136"/>
    <x v="38"/>
    <s v="CUST0201"/>
    <s v="Corporate"/>
    <x v="3"/>
    <s v="Furniture"/>
    <x v="0"/>
    <n v="2"/>
    <n v="42.83"/>
    <x v="1"/>
    <x v="136"/>
    <n v="11.27"/>
  </r>
  <r>
    <x v="137"/>
    <x v="39"/>
    <s v="CUST0100"/>
    <s v="Consumer"/>
    <x v="5"/>
    <s v="Lifestyle"/>
    <x v="0"/>
    <n v="3"/>
    <n v="59.28"/>
    <x v="0"/>
    <x v="137"/>
    <n v="31.99"/>
  </r>
  <r>
    <x v="138"/>
    <x v="39"/>
    <s v="CUST0091"/>
    <s v="Corporate"/>
    <x v="9"/>
    <s v="Office Supplies"/>
    <x v="1"/>
    <n v="1"/>
    <n v="17.260000000000002"/>
    <x v="0"/>
    <x v="138"/>
    <n v="2.61"/>
  </r>
  <r>
    <x v="139"/>
    <x v="39"/>
    <s v="CUST0273"/>
    <s v="Consumer"/>
    <x v="6"/>
    <s v="Technology"/>
    <x v="0"/>
    <n v="1"/>
    <n v="938.3"/>
    <x v="3"/>
    <x v="139"/>
    <n v="80.75"/>
  </r>
  <r>
    <x v="140"/>
    <x v="39"/>
    <s v="CUST0153"/>
    <s v="Corporate"/>
    <x v="4"/>
    <s v="Technology"/>
    <x v="0"/>
    <n v="1"/>
    <n v="215.03"/>
    <x v="0"/>
    <x v="140"/>
    <n v="14.09"/>
  </r>
  <r>
    <x v="141"/>
    <x v="39"/>
    <s v="CUST0246"/>
    <s v="Consumer"/>
    <x v="11"/>
    <s v="Lifestyle"/>
    <x v="0"/>
    <n v="1"/>
    <n v="22.85"/>
    <x v="2"/>
    <x v="141"/>
    <n v="4.5999999999999996"/>
  </r>
  <r>
    <x v="142"/>
    <x v="40"/>
    <s v="CUST0230"/>
    <s v="Corporate"/>
    <x v="5"/>
    <s v="Lifestyle"/>
    <x v="0"/>
    <n v="4"/>
    <n v="59.99"/>
    <x v="0"/>
    <x v="142"/>
    <n v="50.22"/>
  </r>
  <r>
    <x v="143"/>
    <x v="41"/>
    <s v="CUST0140"/>
    <s v="Consumer"/>
    <x v="2"/>
    <s v="Technology"/>
    <x v="3"/>
    <n v="1"/>
    <n v="70.459999999999994"/>
    <x v="4"/>
    <x v="143"/>
    <n v="7.74"/>
  </r>
  <r>
    <x v="144"/>
    <x v="41"/>
    <s v="CUST0093"/>
    <s v="Consumer"/>
    <x v="5"/>
    <s v="Lifestyle"/>
    <x v="3"/>
    <n v="3"/>
    <n v="59.62"/>
    <x v="2"/>
    <x v="144"/>
    <n v="34.299999999999997"/>
  </r>
  <r>
    <x v="145"/>
    <x v="41"/>
    <s v="CUST0248"/>
    <s v="Consumer"/>
    <x v="9"/>
    <s v="Office Supplies"/>
    <x v="2"/>
    <n v="2"/>
    <n v="17.95"/>
    <x v="0"/>
    <x v="145"/>
    <n v="2.1800000000000002"/>
  </r>
  <r>
    <x v="146"/>
    <x v="42"/>
    <s v="CUST0231"/>
    <s v="Consumer"/>
    <x v="2"/>
    <s v="Technology"/>
    <x v="1"/>
    <n v="2"/>
    <n v="80.790000000000006"/>
    <x v="3"/>
    <x v="146"/>
    <n v="41.87"/>
  </r>
  <r>
    <x v="147"/>
    <x v="42"/>
    <s v="CUST0090"/>
    <s v="Corporate"/>
    <x v="6"/>
    <s v="Technology"/>
    <x v="0"/>
    <n v="4"/>
    <n v="904.05"/>
    <x v="0"/>
    <x v="147"/>
    <n v="636.17999999999995"/>
  </r>
  <r>
    <x v="148"/>
    <x v="42"/>
    <s v="CUST0196"/>
    <s v="Small Business"/>
    <x v="9"/>
    <s v="Office Supplies"/>
    <x v="0"/>
    <n v="4"/>
    <n v="16.440000000000001"/>
    <x v="2"/>
    <x v="148"/>
    <n v="4.3"/>
  </r>
  <r>
    <x v="149"/>
    <x v="43"/>
    <s v="CUST0217"/>
    <s v="Corporate"/>
    <x v="0"/>
    <s v="Office Supplies"/>
    <x v="2"/>
    <n v="4"/>
    <n v="14"/>
    <x v="0"/>
    <x v="149"/>
    <n v="8.9499999999999993"/>
  </r>
  <r>
    <x v="150"/>
    <x v="44"/>
    <s v="CUST0049"/>
    <s v="Small Business"/>
    <x v="6"/>
    <s v="Technology"/>
    <x v="0"/>
    <n v="2"/>
    <n v="870.26"/>
    <x v="2"/>
    <x v="150"/>
    <n v="375.94"/>
  </r>
  <r>
    <x v="151"/>
    <x v="44"/>
    <s v="CUST0211"/>
    <s v="Consumer"/>
    <x v="10"/>
    <s v="Office Supplies"/>
    <x v="1"/>
    <n v="2"/>
    <n v="8.73"/>
    <x v="2"/>
    <x v="151"/>
    <n v="3.36"/>
  </r>
  <r>
    <x v="152"/>
    <x v="44"/>
    <s v="CUST0269"/>
    <s v="Consumer"/>
    <x v="2"/>
    <s v="Technology"/>
    <x v="2"/>
    <n v="3"/>
    <n v="70.7"/>
    <x v="3"/>
    <x v="152"/>
    <n v="43.1"/>
  </r>
  <r>
    <x v="153"/>
    <x v="44"/>
    <s v="CUST0287"/>
    <s v="Small Business"/>
    <x v="1"/>
    <s v="Furniture"/>
    <x v="1"/>
    <n v="1"/>
    <n v="171.31"/>
    <x v="3"/>
    <x v="153"/>
    <n v="44.56"/>
  </r>
  <r>
    <x v="154"/>
    <x v="44"/>
    <s v="CUST0255"/>
    <s v="Corporate"/>
    <x v="9"/>
    <s v="Office Supplies"/>
    <x v="2"/>
    <n v="2"/>
    <n v="18.46"/>
    <x v="2"/>
    <x v="154"/>
    <n v="7.87"/>
  </r>
  <r>
    <x v="155"/>
    <x v="45"/>
    <s v="CUST0111"/>
    <s v="Consumer"/>
    <x v="3"/>
    <s v="Furniture"/>
    <x v="1"/>
    <n v="1"/>
    <n v="44.24"/>
    <x v="1"/>
    <x v="155"/>
    <n v="4.4800000000000004"/>
  </r>
  <r>
    <x v="156"/>
    <x v="46"/>
    <s v="CUST0035"/>
    <s v="Consumer"/>
    <x v="1"/>
    <s v="Furniture"/>
    <x v="0"/>
    <n v="3"/>
    <n v="166.14"/>
    <x v="2"/>
    <x v="156"/>
    <n v="39.99"/>
  </r>
  <r>
    <x v="157"/>
    <x v="46"/>
    <s v="CUST0150"/>
    <s v="Corporate"/>
    <x v="8"/>
    <s v="Furniture"/>
    <x v="3"/>
    <n v="3"/>
    <n v="302.39"/>
    <x v="0"/>
    <x v="157"/>
    <n v="85.56"/>
  </r>
  <r>
    <x v="158"/>
    <x v="46"/>
    <s v="CUST0023"/>
    <s v="Consumer"/>
    <x v="2"/>
    <s v="Technology"/>
    <x v="3"/>
    <n v="2"/>
    <n v="78.650000000000006"/>
    <x v="0"/>
    <x v="158"/>
    <n v="26.3"/>
  </r>
  <r>
    <x v="159"/>
    <x v="47"/>
    <s v="CUST0028"/>
    <s v="Consumer"/>
    <x v="11"/>
    <s v="Lifestyle"/>
    <x v="2"/>
    <n v="3"/>
    <n v="23.02"/>
    <x v="3"/>
    <x v="159"/>
    <n v="11.32"/>
  </r>
  <r>
    <x v="160"/>
    <x v="47"/>
    <s v="CUST0165"/>
    <s v="Corporate"/>
    <x v="6"/>
    <s v="Technology"/>
    <x v="1"/>
    <n v="3"/>
    <n v="969.61"/>
    <x v="4"/>
    <x v="160"/>
    <n v="424.67"/>
  </r>
  <r>
    <x v="161"/>
    <x v="47"/>
    <s v="CUST0052"/>
    <s v="Corporate"/>
    <x v="2"/>
    <s v="Technology"/>
    <x v="3"/>
    <n v="1"/>
    <n v="80.67"/>
    <x v="3"/>
    <x v="161"/>
    <n v="7.9"/>
  </r>
  <r>
    <x v="162"/>
    <x v="47"/>
    <s v="CUST0263"/>
    <s v="Corporate"/>
    <x v="2"/>
    <s v="Technology"/>
    <x v="2"/>
    <n v="1"/>
    <n v="73.23"/>
    <x v="2"/>
    <x v="162"/>
    <n v="12.84"/>
  </r>
  <r>
    <x v="163"/>
    <x v="47"/>
    <s v="CUST0118"/>
    <s v="Corporate"/>
    <x v="4"/>
    <s v="Technology"/>
    <x v="3"/>
    <n v="2"/>
    <n v="193.77"/>
    <x v="2"/>
    <x v="163"/>
    <n v="74.7"/>
  </r>
  <r>
    <x v="164"/>
    <x v="48"/>
    <s v="CUST0140"/>
    <s v="Consumer"/>
    <x v="0"/>
    <s v="Office Supplies"/>
    <x v="2"/>
    <n v="1"/>
    <n v="15.12"/>
    <x v="3"/>
    <x v="164"/>
    <n v="3.73"/>
  </r>
  <r>
    <x v="165"/>
    <x v="48"/>
    <s v="CUST0070"/>
    <s v="Consumer"/>
    <x v="5"/>
    <s v="Lifestyle"/>
    <x v="0"/>
    <n v="1"/>
    <n v="58.72"/>
    <x v="3"/>
    <x v="165"/>
    <n v="12.38"/>
  </r>
  <r>
    <x v="166"/>
    <x v="48"/>
    <s v="CUST0062"/>
    <s v="Small Business"/>
    <x v="9"/>
    <s v="Office Supplies"/>
    <x v="3"/>
    <n v="2"/>
    <n v="17.82"/>
    <x v="2"/>
    <x v="166"/>
    <n v="8.82"/>
  </r>
  <r>
    <x v="167"/>
    <x v="49"/>
    <s v="CUST0286"/>
    <s v="Corporate"/>
    <x v="2"/>
    <s v="Technology"/>
    <x v="2"/>
    <n v="1"/>
    <n v="78.58"/>
    <x v="3"/>
    <x v="167"/>
    <n v="18.95"/>
  </r>
  <r>
    <x v="168"/>
    <x v="49"/>
    <s v="CUST0290"/>
    <s v="Corporate"/>
    <x v="0"/>
    <s v="Office Supplies"/>
    <x v="0"/>
    <n v="1"/>
    <n v="14.62"/>
    <x v="1"/>
    <x v="168"/>
    <n v="1.67"/>
  </r>
  <r>
    <x v="169"/>
    <x v="49"/>
    <s v="CUST0015"/>
    <s v="Consumer"/>
    <x v="1"/>
    <s v="Furniture"/>
    <x v="0"/>
    <n v="2"/>
    <n v="196.78"/>
    <x v="2"/>
    <x v="169"/>
    <n v="97.91"/>
  </r>
  <r>
    <x v="170"/>
    <x v="49"/>
    <s v="CUST0043"/>
    <s v="Small Business"/>
    <x v="9"/>
    <s v="Office Supplies"/>
    <x v="1"/>
    <n v="1"/>
    <n v="19.350000000000001"/>
    <x v="3"/>
    <x v="170"/>
    <n v="1.84"/>
  </r>
  <r>
    <x v="171"/>
    <x v="50"/>
    <s v="CUST0191"/>
    <s v="Corporate"/>
    <x v="6"/>
    <s v="Technology"/>
    <x v="0"/>
    <n v="3"/>
    <n v="883.25"/>
    <x v="3"/>
    <x v="171"/>
    <n v="453.8"/>
  </r>
  <r>
    <x v="172"/>
    <x v="51"/>
    <s v="CUST0062"/>
    <s v="Corporate"/>
    <x v="7"/>
    <s v="Technology"/>
    <x v="3"/>
    <n v="1"/>
    <n v="26.08"/>
    <x v="0"/>
    <x v="172"/>
    <n v="2.65"/>
  </r>
  <r>
    <x v="173"/>
    <x v="51"/>
    <s v="CUST0183"/>
    <s v="Corporate"/>
    <x v="4"/>
    <s v="Technology"/>
    <x v="3"/>
    <n v="3"/>
    <n v="199.6"/>
    <x v="0"/>
    <x v="173"/>
    <n v="91.83"/>
  </r>
  <r>
    <x v="174"/>
    <x v="51"/>
    <s v="CUST0248"/>
    <s v="Consumer"/>
    <x v="5"/>
    <s v="Lifestyle"/>
    <x v="0"/>
    <n v="2"/>
    <n v="60.07"/>
    <x v="1"/>
    <x v="174"/>
    <n v="22.46"/>
  </r>
  <r>
    <x v="175"/>
    <x v="52"/>
    <s v="CUST0175"/>
    <s v="Consumer"/>
    <x v="5"/>
    <s v="Lifestyle"/>
    <x v="1"/>
    <n v="1"/>
    <n v="59.73"/>
    <x v="2"/>
    <x v="175"/>
    <n v="13.41"/>
  </r>
  <r>
    <x v="176"/>
    <x v="52"/>
    <s v="CUST0179"/>
    <s v="Consumer"/>
    <x v="3"/>
    <s v="Furniture"/>
    <x v="3"/>
    <n v="4"/>
    <n v="44.7"/>
    <x v="3"/>
    <x v="176"/>
    <n v="33.78"/>
  </r>
  <r>
    <x v="177"/>
    <x v="52"/>
    <s v="CUST0293"/>
    <s v="Consumer"/>
    <x v="9"/>
    <s v="Office Supplies"/>
    <x v="1"/>
    <n v="1"/>
    <n v="18.61"/>
    <x v="3"/>
    <x v="177"/>
    <n v="1.49"/>
  </r>
  <r>
    <x v="178"/>
    <x v="52"/>
    <s v="CUST0044"/>
    <s v="Corporate"/>
    <x v="7"/>
    <s v="Technology"/>
    <x v="3"/>
    <n v="2"/>
    <n v="30.3"/>
    <x v="3"/>
    <x v="178"/>
    <n v="8.5299999999999994"/>
  </r>
  <r>
    <x v="179"/>
    <x v="53"/>
    <s v="CUST0265"/>
    <s v="Consumer"/>
    <x v="7"/>
    <s v="Technology"/>
    <x v="2"/>
    <n v="2"/>
    <n v="26.11"/>
    <x v="0"/>
    <x v="179"/>
    <n v="7.11"/>
  </r>
  <r>
    <x v="180"/>
    <x v="53"/>
    <s v="CUST0059"/>
    <s v="Small Business"/>
    <x v="7"/>
    <s v="Technology"/>
    <x v="3"/>
    <n v="2"/>
    <n v="26.83"/>
    <x v="0"/>
    <x v="180"/>
    <n v="10.66"/>
  </r>
  <r>
    <x v="181"/>
    <x v="53"/>
    <s v="CUST0090"/>
    <s v="Consumer"/>
    <x v="4"/>
    <s v="Technology"/>
    <x v="1"/>
    <n v="1"/>
    <n v="225.87"/>
    <x v="3"/>
    <x v="181"/>
    <n v="52.62"/>
  </r>
  <r>
    <x v="182"/>
    <x v="54"/>
    <s v="CUST0047"/>
    <s v="Consumer"/>
    <x v="4"/>
    <s v="Technology"/>
    <x v="1"/>
    <n v="5"/>
    <n v="202.66"/>
    <x v="3"/>
    <x v="182"/>
    <n v="268.2"/>
  </r>
  <r>
    <x v="183"/>
    <x v="54"/>
    <s v="CUST0097"/>
    <s v="Consumer"/>
    <x v="8"/>
    <s v="Furniture"/>
    <x v="2"/>
    <n v="1"/>
    <n v="310.85000000000002"/>
    <x v="4"/>
    <x v="183"/>
    <n v="18.18"/>
  </r>
  <r>
    <x v="184"/>
    <x v="55"/>
    <s v="CUST0068"/>
    <s v="Consumer"/>
    <x v="9"/>
    <s v="Office Supplies"/>
    <x v="3"/>
    <n v="2"/>
    <n v="18.28"/>
    <x v="0"/>
    <x v="184"/>
    <n v="2.71"/>
  </r>
  <r>
    <x v="185"/>
    <x v="55"/>
    <s v="CUST0141"/>
    <s v="Consumer"/>
    <x v="6"/>
    <s v="Technology"/>
    <x v="0"/>
    <n v="3"/>
    <n v="865.75"/>
    <x v="3"/>
    <x v="185"/>
    <n v="402.01"/>
  </r>
  <r>
    <x v="186"/>
    <x v="55"/>
    <s v="CUST0217"/>
    <s v="Corporate"/>
    <x v="1"/>
    <s v="Furniture"/>
    <x v="3"/>
    <n v="3"/>
    <n v="179.28"/>
    <x v="2"/>
    <x v="186"/>
    <n v="107.07"/>
  </r>
  <r>
    <x v="187"/>
    <x v="56"/>
    <s v="CUST0052"/>
    <s v="Small Business"/>
    <x v="5"/>
    <s v="Lifestyle"/>
    <x v="0"/>
    <n v="3"/>
    <n v="52.15"/>
    <x v="0"/>
    <x v="187"/>
    <n v="28.51"/>
  </r>
  <r>
    <x v="188"/>
    <x v="56"/>
    <s v="CUST0102"/>
    <s v="Corporate"/>
    <x v="6"/>
    <s v="Technology"/>
    <x v="0"/>
    <n v="1"/>
    <n v="964.86"/>
    <x v="3"/>
    <x v="188"/>
    <n v="173.31"/>
  </r>
  <r>
    <x v="189"/>
    <x v="56"/>
    <s v="CUST0028"/>
    <s v="Small Business"/>
    <x v="6"/>
    <s v="Technology"/>
    <x v="0"/>
    <n v="3"/>
    <n v="894.78"/>
    <x v="3"/>
    <x v="189"/>
    <n v="413.64"/>
  </r>
  <r>
    <x v="190"/>
    <x v="57"/>
    <s v="CUST0242"/>
    <s v="Corporate"/>
    <x v="4"/>
    <s v="Technology"/>
    <x v="0"/>
    <n v="3"/>
    <n v="219.29"/>
    <x v="3"/>
    <x v="190"/>
    <n v="139.18"/>
  </r>
  <r>
    <x v="191"/>
    <x v="57"/>
    <s v="CUST0196"/>
    <s v="Consumer"/>
    <x v="9"/>
    <s v="Office Supplies"/>
    <x v="3"/>
    <n v="4"/>
    <n v="19.149999999999999"/>
    <x v="3"/>
    <x v="191"/>
    <n v="21.44"/>
  </r>
  <r>
    <x v="192"/>
    <x v="57"/>
    <s v="CUST0163"/>
    <s v="Small Business"/>
    <x v="8"/>
    <s v="Furniture"/>
    <x v="3"/>
    <n v="2"/>
    <n v="328.08"/>
    <x v="3"/>
    <x v="192"/>
    <n v="172.94"/>
  </r>
  <r>
    <x v="193"/>
    <x v="57"/>
    <s v="CUST0238"/>
    <s v="Corporate"/>
    <x v="3"/>
    <s v="Furniture"/>
    <x v="0"/>
    <n v="1"/>
    <n v="44.1"/>
    <x v="2"/>
    <x v="193"/>
    <n v="8.5399999999999991"/>
  </r>
  <r>
    <x v="194"/>
    <x v="57"/>
    <s v="CUST0254"/>
    <s v="Consumer"/>
    <x v="2"/>
    <s v="Technology"/>
    <x v="2"/>
    <n v="1"/>
    <n v="73.430000000000007"/>
    <x v="1"/>
    <x v="194"/>
    <n v="8.1999999999999993"/>
  </r>
  <r>
    <x v="195"/>
    <x v="58"/>
    <s v="CUST0188"/>
    <s v="Corporate"/>
    <x v="8"/>
    <s v="Furniture"/>
    <x v="1"/>
    <n v="1"/>
    <n v="322.69"/>
    <x v="1"/>
    <x v="195"/>
    <n v="30.11"/>
  </r>
  <r>
    <x v="196"/>
    <x v="58"/>
    <s v="CUST0099"/>
    <s v="Consumer"/>
    <x v="4"/>
    <s v="Technology"/>
    <x v="1"/>
    <n v="2"/>
    <n v="230.21"/>
    <x v="0"/>
    <x v="196"/>
    <n v="98.41"/>
  </r>
  <r>
    <x v="197"/>
    <x v="58"/>
    <s v="CUST0134"/>
    <s v="Small Business"/>
    <x v="6"/>
    <s v="Technology"/>
    <x v="3"/>
    <n v="2"/>
    <n v="1027.23"/>
    <x v="2"/>
    <x v="197"/>
    <n v="383.46"/>
  </r>
  <r>
    <x v="198"/>
    <x v="59"/>
    <s v="CUST0008"/>
    <s v="Corporate"/>
    <x v="9"/>
    <s v="Office Supplies"/>
    <x v="2"/>
    <n v="2"/>
    <n v="17.91"/>
    <x v="3"/>
    <x v="198"/>
    <n v="8"/>
  </r>
  <r>
    <x v="199"/>
    <x v="59"/>
    <s v="CUST0246"/>
    <s v="Small Business"/>
    <x v="3"/>
    <s v="Furniture"/>
    <x v="0"/>
    <n v="1"/>
    <n v="38.14"/>
    <x v="2"/>
    <x v="199"/>
    <n v="5.72"/>
  </r>
  <r>
    <x v="200"/>
    <x v="59"/>
    <s v="CUST0210"/>
    <s v="Small Business"/>
    <x v="11"/>
    <s v="Lifestyle"/>
    <x v="0"/>
    <n v="2"/>
    <n v="22.84"/>
    <x v="3"/>
    <x v="200"/>
    <n v="8.35"/>
  </r>
  <r>
    <x v="201"/>
    <x v="59"/>
    <s v="CUST0105"/>
    <s v="Corporate"/>
    <x v="5"/>
    <s v="Lifestyle"/>
    <x v="0"/>
    <n v="3"/>
    <n v="53.55"/>
    <x v="3"/>
    <x v="201"/>
    <n v="24.55"/>
  </r>
  <r>
    <x v="202"/>
    <x v="60"/>
    <s v="CUST0202"/>
    <s v="Corporate"/>
    <x v="10"/>
    <s v="Office Supplies"/>
    <x v="0"/>
    <n v="1"/>
    <n v="8.67"/>
    <x v="2"/>
    <x v="202"/>
    <n v="0.98"/>
  </r>
  <r>
    <x v="203"/>
    <x v="60"/>
    <s v="CUST0151"/>
    <s v="Corporate"/>
    <x v="4"/>
    <s v="Technology"/>
    <x v="3"/>
    <n v="1"/>
    <n v="208.68"/>
    <x v="3"/>
    <x v="203"/>
    <n v="22.87"/>
  </r>
  <r>
    <x v="204"/>
    <x v="60"/>
    <s v="CUST0203"/>
    <s v="Corporate"/>
    <x v="1"/>
    <s v="Furniture"/>
    <x v="1"/>
    <n v="3"/>
    <n v="181.23"/>
    <x v="0"/>
    <x v="204"/>
    <n v="91.83"/>
  </r>
  <r>
    <x v="205"/>
    <x v="60"/>
    <s v="CUST0112"/>
    <s v="Small Business"/>
    <x v="11"/>
    <s v="Lifestyle"/>
    <x v="0"/>
    <n v="1"/>
    <n v="23.72"/>
    <x v="0"/>
    <x v="205"/>
    <n v="2.95"/>
  </r>
  <r>
    <x v="206"/>
    <x v="61"/>
    <s v="CUST0195"/>
    <s v="Consumer"/>
    <x v="2"/>
    <s v="Technology"/>
    <x v="1"/>
    <n v="3"/>
    <n v="82.05"/>
    <x v="3"/>
    <x v="206"/>
    <n v="42.03"/>
  </r>
  <r>
    <x v="207"/>
    <x v="61"/>
    <s v="CUST0275"/>
    <s v="Consumer"/>
    <x v="9"/>
    <s v="Office Supplies"/>
    <x v="2"/>
    <n v="3"/>
    <n v="18.399999999999999"/>
    <x v="2"/>
    <x v="207"/>
    <n v="5.38"/>
  </r>
  <r>
    <x v="208"/>
    <x v="61"/>
    <s v="CUST0043"/>
    <s v="Corporate"/>
    <x v="11"/>
    <s v="Lifestyle"/>
    <x v="3"/>
    <n v="4"/>
    <n v="22.17"/>
    <x v="2"/>
    <x v="208"/>
    <n v="9.92"/>
  </r>
  <r>
    <x v="209"/>
    <x v="61"/>
    <s v="CUST0265"/>
    <s v="Corporate"/>
    <x v="3"/>
    <s v="Furniture"/>
    <x v="0"/>
    <n v="3"/>
    <n v="45.62"/>
    <x v="2"/>
    <x v="209"/>
    <n v="33.82"/>
  </r>
  <r>
    <x v="210"/>
    <x v="61"/>
    <s v="CUST0021"/>
    <s v="Corporate"/>
    <x v="7"/>
    <s v="Technology"/>
    <x v="2"/>
    <n v="5"/>
    <n v="27.21"/>
    <x v="3"/>
    <x v="210"/>
    <n v="21.33"/>
  </r>
  <r>
    <x v="211"/>
    <x v="62"/>
    <s v="CUST0296"/>
    <s v="Corporate"/>
    <x v="3"/>
    <s v="Furniture"/>
    <x v="1"/>
    <n v="3"/>
    <n v="40.090000000000003"/>
    <x v="2"/>
    <x v="211"/>
    <n v="11.62"/>
  </r>
  <r>
    <x v="212"/>
    <x v="62"/>
    <s v="CUST0157"/>
    <s v="Corporate"/>
    <x v="3"/>
    <s v="Furniture"/>
    <x v="1"/>
    <n v="1"/>
    <n v="41.96"/>
    <x v="1"/>
    <x v="212"/>
    <n v="6.88"/>
  </r>
  <r>
    <x v="213"/>
    <x v="62"/>
    <s v="CUST0097"/>
    <s v="Small Business"/>
    <x v="5"/>
    <s v="Lifestyle"/>
    <x v="2"/>
    <n v="3"/>
    <n v="52.49"/>
    <x v="3"/>
    <x v="213"/>
    <n v="19.3"/>
  </r>
  <r>
    <x v="214"/>
    <x v="63"/>
    <s v="CUST0160"/>
    <s v="Consumer"/>
    <x v="1"/>
    <s v="Furniture"/>
    <x v="0"/>
    <n v="2"/>
    <n v="182.04"/>
    <x v="0"/>
    <x v="214"/>
    <n v="68.03"/>
  </r>
  <r>
    <x v="215"/>
    <x v="63"/>
    <s v="CUST0212"/>
    <s v="Consumer"/>
    <x v="8"/>
    <s v="Furniture"/>
    <x v="2"/>
    <n v="2"/>
    <n v="332"/>
    <x v="1"/>
    <x v="215"/>
    <n v="62.24"/>
  </r>
  <r>
    <x v="216"/>
    <x v="64"/>
    <s v="CUST0047"/>
    <s v="Consumer"/>
    <x v="8"/>
    <s v="Furniture"/>
    <x v="1"/>
    <n v="2"/>
    <n v="304.93"/>
    <x v="3"/>
    <x v="216"/>
    <n v="90.49"/>
  </r>
  <r>
    <x v="217"/>
    <x v="64"/>
    <s v="CUST0160"/>
    <s v="Small Business"/>
    <x v="6"/>
    <s v="Technology"/>
    <x v="1"/>
    <n v="1"/>
    <n v="859.49"/>
    <x v="3"/>
    <x v="217"/>
    <n v="179.11"/>
  </r>
  <r>
    <x v="218"/>
    <x v="65"/>
    <s v="CUST0089"/>
    <s v="Small Business"/>
    <x v="10"/>
    <s v="Office Supplies"/>
    <x v="3"/>
    <n v="5"/>
    <n v="9.8699999999999992"/>
    <x v="0"/>
    <x v="218"/>
    <n v="7.77"/>
  </r>
  <r>
    <x v="219"/>
    <x v="65"/>
    <s v="CUST0298"/>
    <s v="Consumer"/>
    <x v="1"/>
    <s v="Furniture"/>
    <x v="0"/>
    <n v="2"/>
    <n v="189.01"/>
    <x v="0"/>
    <x v="219"/>
    <n v="48.88"/>
  </r>
  <r>
    <x v="220"/>
    <x v="65"/>
    <s v="CUST0276"/>
    <s v="Consumer"/>
    <x v="11"/>
    <s v="Lifestyle"/>
    <x v="1"/>
    <n v="5"/>
    <n v="22.91"/>
    <x v="1"/>
    <x v="220"/>
    <n v="18.95"/>
  </r>
  <r>
    <x v="221"/>
    <x v="65"/>
    <s v="CUST0054"/>
    <s v="Corporate"/>
    <x v="11"/>
    <s v="Lifestyle"/>
    <x v="1"/>
    <n v="2"/>
    <n v="22.98"/>
    <x v="2"/>
    <x v="221"/>
    <n v="11.32"/>
  </r>
  <r>
    <x v="222"/>
    <x v="65"/>
    <s v="CUST0295"/>
    <s v="Consumer"/>
    <x v="7"/>
    <s v="Technology"/>
    <x v="3"/>
    <n v="1"/>
    <n v="29.69"/>
    <x v="2"/>
    <x v="222"/>
    <n v="3.88"/>
  </r>
  <r>
    <x v="223"/>
    <x v="66"/>
    <s v="CUST0064"/>
    <s v="Consumer"/>
    <x v="4"/>
    <s v="Technology"/>
    <x v="0"/>
    <n v="1"/>
    <n v="211.26"/>
    <x v="2"/>
    <x v="223"/>
    <n v="20.170000000000002"/>
  </r>
  <r>
    <x v="224"/>
    <x v="66"/>
    <s v="CUST0298"/>
    <s v="Consumer"/>
    <x v="8"/>
    <s v="Furniture"/>
    <x v="1"/>
    <n v="1"/>
    <n v="353.69"/>
    <x v="0"/>
    <x v="224"/>
    <n v="40.78"/>
  </r>
  <r>
    <x v="225"/>
    <x v="66"/>
    <s v="CUST0227"/>
    <s v="Consumer"/>
    <x v="10"/>
    <s v="Office Supplies"/>
    <x v="0"/>
    <n v="2"/>
    <n v="9.74"/>
    <x v="3"/>
    <x v="225"/>
    <n v="1.95"/>
  </r>
  <r>
    <x v="226"/>
    <x v="66"/>
    <s v="CUST0117"/>
    <s v="Corporate"/>
    <x v="10"/>
    <s v="Office Supplies"/>
    <x v="2"/>
    <n v="2"/>
    <n v="8.99"/>
    <x v="0"/>
    <x v="226"/>
    <n v="1.98"/>
  </r>
  <r>
    <x v="227"/>
    <x v="67"/>
    <s v="CUST0294"/>
    <s v="Consumer"/>
    <x v="0"/>
    <s v="Office Supplies"/>
    <x v="1"/>
    <n v="1"/>
    <n v="13.06"/>
    <x v="0"/>
    <x v="227"/>
    <n v="1.54"/>
  </r>
  <r>
    <x v="228"/>
    <x v="67"/>
    <s v="CUST0141"/>
    <s v="Consumer"/>
    <x v="11"/>
    <s v="Lifestyle"/>
    <x v="1"/>
    <n v="2"/>
    <n v="22.86"/>
    <x v="2"/>
    <x v="228"/>
    <n v="9.19"/>
  </r>
  <r>
    <x v="229"/>
    <x v="67"/>
    <s v="CUST0062"/>
    <s v="Consumer"/>
    <x v="10"/>
    <s v="Office Supplies"/>
    <x v="0"/>
    <n v="3"/>
    <n v="9.73"/>
    <x v="3"/>
    <x v="229"/>
    <n v="7.38"/>
  </r>
  <r>
    <x v="230"/>
    <x v="67"/>
    <s v="CUST0190"/>
    <s v="Consumer"/>
    <x v="10"/>
    <s v="Office Supplies"/>
    <x v="2"/>
    <n v="4"/>
    <n v="8.7100000000000009"/>
    <x v="1"/>
    <x v="230"/>
    <n v="5.64"/>
  </r>
  <r>
    <x v="231"/>
    <x v="68"/>
    <s v="CUST0132"/>
    <s v="Small Business"/>
    <x v="6"/>
    <s v="Technology"/>
    <x v="0"/>
    <n v="3"/>
    <n v="995.31"/>
    <x v="2"/>
    <x v="231"/>
    <n v="695.46"/>
  </r>
  <r>
    <x v="232"/>
    <x v="69"/>
    <s v="CUST0028"/>
    <s v="Corporate"/>
    <x v="2"/>
    <s v="Technology"/>
    <x v="1"/>
    <n v="1"/>
    <n v="79.62"/>
    <x v="3"/>
    <x v="232"/>
    <n v="9.18"/>
  </r>
  <r>
    <x v="233"/>
    <x v="69"/>
    <s v="CUST0297"/>
    <s v="Corporate"/>
    <x v="1"/>
    <s v="Furniture"/>
    <x v="1"/>
    <n v="1"/>
    <n v="194.74"/>
    <x v="1"/>
    <x v="233"/>
    <n v="35.32"/>
  </r>
  <r>
    <x v="234"/>
    <x v="70"/>
    <s v="CUST0254"/>
    <s v="Corporate"/>
    <x v="10"/>
    <s v="Office Supplies"/>
    <x v="1"/>
    <n v="1"/>
    <n v="8.48"/>
    <x v="3"/>
    <x v="234"/>
    <n v="1.17"/>
  </r>
  <r>
    <x v="235"/>
    <x v="70"/>
    <s v="CUST0245"/>
    <s v="Consumer"/>
    <x v="4"/>
    <s v="Technology"/>
    <x v="3"/>
    <n v="4"/>
    <n v="205.61"/>
    <x v="2"/>
    <x v="235"/>
    <n v="104.73"/>
  </r>
  <r>
    <x v="236"/>
    <x v="70"/>
    <s v="CUST0036"/>
    <s v="Small Business"/>
    <x v="0"/>
    <s v="Office Supplies"/>
    <x v="1"/>
    <n v="1"/>
    <n v="14.7"/>
    <x v="3"/>
    <x v="236"/>
    <n v="3.55"/>
  </r>
  <r>
    <x v="237"/>
    <x v="70"/>
    <s v="CUST0227"/>
    <s v="Consumer"/>
    <x v="2"/>
    <s v="Technology"/>
    <x v="2"/>
    <n v="2"/>
    <n v="73.28"/>
    <x v="3"/>
    <x v="237"/>
    <n v="30.58"/>
  </r>
  <r>
    <x v="238"/>
    <x v="70"/>
    <s v="CUST0280"/>
    <s v="Small Business"/>
    <x v="9"/>
    <s v="Office Supplies"/>
    <x v="1"/>
    <n v="3"/>
    <n v="19.03"/>
    <x v="4"/>
    <x v="200"/>
    <n v="8.14"/>
  </r>
  <r>
    <x v="239"/>
    <x v="71"/>
    <s v="CUST0216"/>
    <s v="Consumer"/>
    <x v="3"/>
    <s v="Furniture"/>
    <x v="2"/>
    <n v="3"/>
    <n v="40.229999999999997"/>
    <x v="1"/>
    <x v="238"/>
    <n v="25.32"/>
  </r>
  <r>
    <x v="240"/>
    <x v="71"/>
    <s v="CUST0245"/>
    <s v="Small Business"/>
    <x v="5"/>
    <s v="Lifestyle"/>
    <x v="0"/>
    <n v="1"/>
    <n v="55.04"/>
    <x v="2"/>
    <x v="239"/>
    <n v="10.16"/>
  </r>
  <r>
    <x v="241"/>
    <x v="72"/>
    <s v="CUST0162"/>
    <s v="Consumer"/>
    <x v="11"/>
    <s v="Lifestyle"/>
    <x v="2"/>
    <n v="2"/>
    <n v="22.18"/>
    <x v="3"/>
    <x v="240"/>
    <n v="4.92"/>
  </r>
  <r>
    <x v="242"/>
    <x v="72"/>
    <s v="CUST0191"/>
    <s v="Small Business"/>
    <x v="10"/>
    <s v="Office Supplies"/>
    <x v="0"/>
    <n v="2"/>
    <n v="9.7799999999999994"/>
    <x v="4"/>
    <x v="241"/>
    <n v="2.97"/>
  </r>
  <r>
    <x v="243"/>
    <x v="72"/>
    <s v="CUST0268"/>
    <s v="Consumer"/>
    <x v="6"/>
    <s v="Technology"/>
    <x v="3"/>
    <n v="1"/>
    <n v="882.3"/>
    <x v="0"/>
    <x v="242"/>
    <n v="134.49"/>
  </r>
  <r>
    <x v="244"/>
    <x v="73"/>
    <s v="CUST0274"/>
    <s v="Consumer"/>
    <x v="0"/>
    <s v="Office Supplies"/>
    <x v="1"/>
    <n v="1"/>
    <n v="14.52"/>
    <x v="3"/>
    <x v="243"/>
    <n v="3.61"/>
  </r>
  <r>
    <x v="245"/>
    <x v="73"/>
    <s v="CUST0073"/>
    <s v="Consumer"/>
    <x v="2"/>
    <s v="Technology"/>
    <x v="0"/>
    <n v="1"/>
    <n v="78.45"/>
    <x v="2"/>
    <x v="244"/>
    <n v="11.18"/>
  </r>
  <r>
    <x v="246"/>
    <x v="73"/>
    <s v="CUST0143"/>
    <s v="Consumer"/>
    <x v="11"/>
    <s v="Lifestyle"/>
    <x v="2"/>
    <n v="1"/>
    <n v="23.17"/>
    <x v="0"/>
    <x v="245"/>
    <n v="5.17"/>
  </r>
  <r>
    <x v="247"/>
    <x v="73"/>
    <s v="CUST0113"/>
    <s v="Corporate"/>
    <x v="5"/>
    <s v="Lifestyle"/>
    <x v="0"/>
    <n v="2"/>
    <n v="53.48"/>
    <x v="3"/>
    <x v="246"/>
    <n v="15.71"/>
  </r>
  <r>
    <x v="248"/>
    <x v="73"/>
    <s v="CUST0141"/>
    <s v="Small Business"/>
    <x v="6"/>
    <s v="Technology"/>
    <x v="2"/>
    <n v="1"/>
    <n v="912.13"/>
    <x v="0"/>
    <x v="247"/>
    <n v="140.21"/>
  </r>
  <r>
    <x v="249"/>
    <x v="74"/>
    <s v="CUST0253"/>
    <s v="Consumer"/>
    <x v="0"/>
    <s v="Office Supplies"/>
    <x v="2"/>
    <n v="2"/>
    <n v="13.79"/>
    <x v="3"/>
    <x v="248"/>
    <n v="6.8"/>
  </r>
  <r>
    <x v="250"/>
    <x v="74"/>
    <s v="CUST0220"/>
    <s v="Corporate"/>
    <x v="10"/>
    <s v="Office Supplies"/>
    <x v="3"/>
    <n v="2"/>
    <n v="8.1300000000000008"/>
    <x v="3"/>
    <x v="249"/>
    <n v="2.66"/>
  </r>
  <r>
    <x v="251"/>
    <x v="74"/>
    <s v="CUST0078"/>
    <s v="Small Business"/>
    <x v="2"/>
    <s v="Technology"/>
    <x v="1"/>
    <n v="1"/>
    <n v="75.099999999999994"/>
    <x v="3"/>
    <x v="250"/>
    <n v="7.3"/>
  </r>
  <r>
    <x v="252"/>
    <x v="75"/>
    <s v="CUST0024"/>
    <s v="Consumer"/>
    <x v="3"/>
    <s v="Furniture"/>
    <x v="2"/>
    <n v="2"/>
    <n v="42.72"/>
    <x v="0"/>
    <x v="251"/>
    <n v="9.83"/>
  </r>
  <r>
    <x v="253"/>
    <x v="75"/>
    <s v="CUST0143"/>
    <s v="Small Business"/>
    <x v="8"/>
    <s v="Furniture"/>
    <x v="2"/>
    <n v="1"/>
    <n v="301.98"/>
    <x v="0"/>
    <x v="252"/>
    <n v="25.82"/>
  </r>
  <r>
    <x v="254"/>
    <x v="75"/>
    <s v="CUST0068"/>
    <s v="Consumer"/>
    <x v="9"/>
    <s v="Office Supplies"/>
    <x v="0"/>
    <n v="2"/>
    <n v="18.84"/>
    <x v="2"/>
    <x v="253"/>
    <n v="8.4600000000000009"/>
  </r>
  <r>
    <x v="255"/>
    <x v="75"/>
    <s v="CUST0077"/>
    <s v="Corporate"/>
    <x v="8"/>
    <s v="Furniture"/>
    <x v="1"/>
    <n v="2"/>
    <n v="318.55"/>
    <x v="3"/>
    <x v="254"/>
    <n v="116.93"/>
  </r>
  <r>
    <x v="256"/>
    <x v="76"/>
    <s v="CUST0061"/>
    <s v="Small Business"/>
    <x v="1"/>
    <s v="Furniture"/>
    <x v="3"/>
    <n v="1"/>
    <n v="181.97"/>
    <x v="1"/>
    <x v="255"/>
    <n v="33.56"/>
  </r>
  <r>
    <x v="257"/>
    <x v="76"/>
    <s v="CUST0044"/>
    <s v="Corporate"/>
    <x v="4"/>
    <s v="Technology"/>
    <x v="3"/>
    <n v="2"/>
    <n v="212.84"/>
    <x v="3"/>
    <x v="256"/>
    <n v="36.72"/>
  </r>
  <r>
    <x v="258"/>
    <x v="76"/>
    <s v="CUST0047"/>
    <s v="Consumer"/>
    <x v="10"/>
    <s v="Office Supplies"/>
    <x v="1"/>
    <n v="3"/>
    <n v="8.85"/>
    <x v="1"/>
    <x v="257"/>
    <n v="4.66"/>
  </r>
  <r>
    <x v="259"/>
    <x v="76"/>
    <s v="CUST0004"/>
    <s v="Consumer"/>
    <x v="5"/>
    <s v="Lifestyle"/>
    <x v="3"/>
    <n v="2"/>
    <n v="50.78"/>
    <x v="2"/>
    <x v="258"/>
    <n v="14.07"/>
  </r>
  <r>
    <x v="260"/>
    <x v="76"/>
    <s v="CUST0291"/>
    <s v="Consumer"/>
    <x v="7"/>
    <s v="Technology"/>
    <x v="1"/>
    <n v="2"/>
    <n v="28.95"/>
    <x v="3"/>
    <x v="259"/>
    <n v="7.13"/>
  </r>
  <r>
    <x v="261"/>
    <x v="76"/>
    <s v="CUST0156"/>
    <s v="Corporate"/>
    <x v="11"/>
    <s v="Lifestyle"/>
    <x v="2"/>
    <n v="4"/>
    <n v="23.48"/>
    <x v="0"/>
    <x v="260"/>
    <n v="18.27"/>
  </r>
  <r>
    <x v="262"/>
    <x v="77"/>
    <s v="CUST0161"/>
    <s v="Consumer"/>
    <x v="1"/>
    <s v="Furniture"/>
    <x v="1"/>
    <n v="2"/>
    <n v="196.99"/>
    <x v="2"/>
    <x v="261"/>
    <n v="71.709999999999994"/>
  </r>
  <r>
    <x v="263"/>
    <x v="78"/>
    <s v="CUST0243"/>
    <s v="Consumer"/>
    <x v="8"/>
    <s v="Furniture"/>
    <x v="2"/>
    <n v="2"/>
    <n v="329.88"/>
    <x v="3"/>
    <x v="262"/>
    <n v="113.17"/>
  </r>
  <r>
    <x v="264"/>
    <x v="78"/>
    <s v="CUST0025"/>
    <s v="Corporate"/>
    <x v="9"/>
    <s v="Office Supplies"/>
    <x v="0"/>
    <n v="1"/>
    <n v="16.22"/>
    <x v="1"/>
    <x v="263"/>
    <n v="2.73"/>
  </r>
  <r>
    <x v="265"/>
    <x v="78"/>
    <s v="CUST0042"/>
    <s v="Consumer"/>
    <x v="8"/>
    <s v="Furniture"/>
    <x v="1"/>
    <n v="2"/>
    <n v="354.81"/>
    <x v="2"/>
    <x v="264"/>
    <n v="168.44"/>
  </r>
  <r>
    <x v="266"/>
    <x v="79"/>
    <s v="CUST0202"/>
    <s v="Consumer"/>
    <x v="8"/>
    <s v="Furniture"/>
    <x v="1"/>
    <n v="3"/>
    <n v="336.67"/>
    <x v="0"/>
    <x v="265"/>
    <n v="234.7"/>
  </r>
  <r>
    <x v="267"/>
    <x v="79"/>
    <s v="CUST0059"/>
    <s v="Corporate"/>
    <x v="3"/>
    <s v="Furniture"/>
    <x v="3"/>
    <n v="4"/>
    <n v="39.380000000000003"/>
    <x v="0"/>
    <x v="266"/>
    <n v="16.29"/>
  </r>
  <r>
    <x v="268"/>
    <x v="79"/>
    <s v="CUST0230"/>
    <s v="Consumer"/>
    <x v="2"/>
    <s v="Technology"/>
    <x v="3"/>
    <n v="1"/>
    <n v="79.88"/>
    <x v="2"/>
    <x v="267"/>
    <n v="18.260000000000002"/>
  </r>
  <r>
    <x v="269"/>
    <x v="79"/>
    <s v="CUST0206"/>
    <s v="Small Business"/>
    <x v="10"/>
    <s v="Office Supplies"/>
    <x v="0"/>
    <n v="2"/>
    <n v="9.73"/>
    <x v="3"/>
    <x v="268"/>
    <n v="1.91"/>
  </r>
  <r>
    <x v="270"/>
    <x v="79"/>
    <s v="CUST0211"/>
    <s v="Consumer"/>
    <x v="6"/>
    <s v="Technology"/>
    <x v="3"/>
    <n v="2"/>
    <n v="1006.2"/>
    <x v="0"/>
    <x v="269"/>
    <n v="240.79"/>
  </r>
  <r>
    <x v="271"/>
    <x v="79"/>
    <s v="CUST0206"/>
    <s v="Consumer"/>
    <x v="7"/>
    <s v="Technology"/>
    <x v="2"/>
    <n v="2"/>
    <n v="26.36"/>
    <x v="0"/>
    <x v="270"/>
    <n v="11.08"/>
  </r>
  <r>
    <x v="272"/>
    <x v="80"/>
    <s v="CUST0150"/>
    <s v="Small Business"/>
    <x v="3"/>
    <s v="Furniture"/>
    <x v="3"/>
    <n v="1"/>
    <n v="37.92"/>
    <x v="2"/>
    <x v="271"/>
    <n v="6.05"/>
  </r>
  <r>
    <x v="273"/>
    <x v="80"/>
    <s v="CUST0180"/>
    <s v="Consumer"/>
    <x v="7"/>
    <s v="Technology"/>
    <x v="2"/>
    <n v="3"/>
    <n v="25.44"/>
    <x v="1"/>
    <x v="272"/>
    <n v="9.93"/>
  </r>
  <r>
    <x v="274"/>
    <x v="80"/>
    <s v="CUST0233"/>
    <s v="Small Business"/>
    <x v="3"/>
    <s v="Furniture"/>
    <x v="3"/>
    <n v="3"/>
    <n v="45.15"/>
    <x v="3"/>
    <x v="273"/>
    <n v="31.74"/>
  </r>
  <r>
    <x v="275"/>
    <x v="80"/>
    <s v="CUST0040"/>
    <s v="Consumer"/>
    <x v="8"/>
    <s v="Furniture"/>
    <x v="0"/>
    <n v="1"/>
    <n v="301.52"/>
    <x v="2"/>
    <x v="274"/>
    <n v="49.05"/>
  </r>
  <r>
    <x v="276"/>
    <x v="80"/>
    <s v="CUST0015"/>
    <s v="Corporate"/>
    <x v="2"/>
    <s v="Technology"/>
    <x v="3"/>
    <n v="2"/>
    <n v="75.87"/>
    <x v="1"/>
    <x v="275"/>
    <n v="32.03"/>
  </r>
  <r>
    <x v="277"/>
    <x v="81"/>
    <s v="CUST0101"/>
    <s v="Consumer"/>
    <x v="1"/>
    <s v="Furniture"/>
    <x v="3"/>
    <n v="1"/>
    <n v="171.17"/>
    <x v="2"/>
    <x v="276"/>
    <n v="27.19"/>
  </r>
  <r>
    <x v="278"/>
    <x v="81"/>
    <s v="CUST0003"/>
    <s v="Small Business"/>
    <x v="8"/>
    <s v="Furniture"/>
    <x v="3"/>
    <n v="3"/>
    <n v="305.75"/>
    <x v="3"/>
    <x v="277"/>
    <n v="167.24"/>
  </r>
  <r>
    <x v="279"/>
    <x v="82"/>
    <s v="CUST0028"/>
    <s v="Small Business"/>
    <x v="5"/>
    <s v="Lifestyle"/>
    <x v="3"/>
    <n v="3"/>
    <n v="50.6"/>
    <x v="0"/>
    <x v="278"/>
    <n v="27.1"/>
  </r>
  <r>
    <x v="280"/>
    <x v="83"/>
    <s v="CUST0024"/>
    <s v="Corporate"/>
    <x v="4"/>
    <s v="Technology"/>
    <x v="0"/>
    <n v="1"/>
    <n v="203.52"/>
    <x v="3"/>
    <x v="279"/>
    <n v="49.16"/>
  </r>
  <r>
    <x v="281"/>
    <x v="83"/>
    <s v="CUST0275"/>
    <s v="Consumer"/>
    <x v="0"/>
    <s v="Office Supplies"/>
    <x v="3"/>
    <n v="1"/>
    <n v="14.69"/>
    <x v="3"/>
    <x v="280"/>
    <n v="2.56"/>
  </r>
  <r>
    <x v="282"/>
    <x v="83"/>
    <s v="CUST0031"/>
    <s v="Corporate"/>
    <x v="11"/>
    <s v="Lifestyle"/>
    <x v="3"/>
    <n v="4"/>
    <n v="22.1"/>
    <x v="2"/>
    <x v="281"/>
    <n v="12.64"/>
  </r>
  <r>
    <x v="283"/>
    <x v="84"/>
    <s v="CUST0279"/>
    <s v="Consumer"/>
    <x v="2"/>
    <s v="Technology"/>
    <x v="1"/>
    <n v="1"/>
    <n v="80.67"/>
    <x v="2"/>
    <x v="282"/>
    <n v="13.1"/>
  </r>
  <r>
    <x v="284"/>
    <x v="84"/>
    <s v="CUST0195"/>
    <s v="Consumer"/>
    <x v="7"/>
    <s v="Technology"/>
    <x v="0"/>
    <n v="1"/>
    <n v="27.6"/>
    <x v="4"/>
    <x v="283"/>
    <n v="3.41"/>
  </r>
  <r>
    <x v="285"/>
    <x v="85"/>
    <s v="CUST0128"/>
    <s v="Small Business"/>
    <x v="3"/>
    <s v="Furniture"/>
    <x v="2"/>
    <n v="1"/>
    <n v="43.07"/>
    <x v="3"/>
    <x v="284"/>
    <n v="5.82"/>
  </r>
  <r>
    <x v="286"/>
    <x v="85"/>
    <s v="CUST0281"/>
    <s v="Corporate"/>
    <x v="11"/>
    <s v="Lifestyle"/>
    <x v="1"/>
    <n v="1"/>
    <n v="20.39"/>
    <x v="0"/>
    <x v="285"/>
    <n v="3.88"/>
  </r>
  <r>
    <x v="287"/>
    <x v="85"/>
    <s v="CUST0033"/>
    <s v="Consumer"/>
    <x v="8"/>
    <s v="Furniture"/>
    <x v="1"/>
    <n v="2"/>
    <n v="335.32"/>
    <x v="2"/>
    <x v="286"/>
    <n v="162.24"/>
  </r>
  <r>
    <x v="288"/>
    <x v="86"/>
    <s v="CUST0207"/>
    <s v="Small Business"/>
    <x v="8"/>
    <s v="Furniture"/>
    <x v="0"/>
    <n v="2"/>
    <n v="361.51"/>
    <x v="3"/>
    <x v="287"/>
    <n v="179.83"/>
  </r>
  <r>
    <x v="289"/>
    <x v="86"/>
    <s v="CUST0291"/>
    <s v="Consumer"/>
    <x v="9"/>
    <s v="Office Supplies"/>
    <x v="3"/>
    <n v="2"/>
    <n v="17.350000000000001"/>
    <x v="3"/>
    <x v="288"/>
    <n v="9.44"/>
  </r>
  <r>
    <x v="290"/>
    <x v="87"/>
    <s v="CUST0235"/>
    <s v="Corporate"/>
    <x v="11"/>
    <s v="Lifestyle"/>
    <x v="1"/>
    <n v="2"/>
    <n v="22.48"/>
    <x v="0"/>
    <x v="289"/>
    <n v="8.58"/>
  </r>
  <r>
    <x v="291"/>
    <x v="87"/>
    <s v="CUST0115"/>
    <s v="Consumer"/>
    <x v="6"/>
    <s v="Technology"/>
    <x v="1"/>
    <n v="1"/>
    <n v="975.27"/>
    <x v="2"/>
    <x v="290"/>
    <n v="75.31"/>
  </r>
  <r>
    <x v="292"/>
    <x v="87"/>
    <s v="CUST0180"/>
    <s v="Corporate"/>
    <x v="7"/>
    <s v="Technology"/>
    <x v="3"/>
    <n v="1"/>
    <n v="28.24"/>
    <x v="2"/>
    <x v="291"/>
    <n v="3.36"/>
  </r>
  <r>
    <x v="293"/>
    <x v="87"/>
    <s v="CUST0296"/>
    <s v="Consumer"/>
    <x v="6"/>
    <s v="Technology"/>
    <x v="0"/>
    <n v="1"/>
    <n v="1002.15"/>
    <x v="3"/>
    <x v="292"/>
    <n v="107.12"/>
  </r>
  <r>
    <x v="294"/>
    <x v="88"/>
    <s v="CUST0158"/>
    <s v="Consumer"/>
    <x v="5"/>
    <s v="Lifestyle"/>
    <x v="3"/>
    <n v="1"/>
    <n v="59.35"/>
    <x v="2"/>
    <x v="293"/>
    <n v="14.9"/>
  </r>
  <r>
    <x v="295"/>
    <x v="88"/>
    <s v="CUST0014"/>
    <s v="Consumer"/>
    <x v="8"/>
    <s v="Furniture"/>
    <x v="3"/>
    <n v="1"/>
    <n v="353.62"/>
    <x v="2"/>
    <x v="294"/>
    <n v="68.069999999999993"/>
  </r>
  <r>
    <x v="296"/>
    <x v="88"/>
    <s v="CUST0087"/>
    <s v="Corporate"/>
    <x v="3"/>
    <s v="Furniture"/>
    <x v="3"/>
    <n v="4"/>
    <n v="37.82"/>
    <x v="2"/>
    <x v="295"/>
    <n v="17.05"/>
  </r>
  <r>
    <x v="297"/>
    <x v="89"/>
    <s v="CUST0250"/>
    <s v="Consumer"/>
    <x v="4"/>
    <s v="Technology"/>
    <x v="3"/>
    <n v="3"/>
    <n v="203.54"/>
    <x v="0"/>
    <x v="296"/>
    <n v="81.44"/>
  </r>
  <r>
    <x v="298"/>
    <x v="89"/>
    <s v="CUST0082"/>
    <s v="Consumer"/>
    <x v="2"/>
    <s v="Technology"/>
    <x v="3"/>
    <n v="1"/>
    <n v="82.39"/>
    <x v="0"/>
    <x v="297"/>
    <n v="9.91"/>
  </r>
  <r>
    <x v="299"/>
    <x v="90"/>
    <s v="CUST0249"/>
    <s v="Small Business"/>
    <x v="10"/>
    <s v="Office Supplies"/>
    <x v="1"/>
    <n v="2"/>
    <n v="9.83"/>
    <x v="2"/>
    <x v="298"/>
    <n v="3.66"/>
  </r>
  <r>
    <x v="300"/>
    <x v="90"/>
    <s v="CUST0011"/>
    <s v="Consumer"/>
    <x v="1"/>
    <s v="Furniture"/>
    <x v="3"/>
    <n v="1"/>
    <n v="191.41"/>
    <x v="4"/>
    <x v="299"/>
    <n v="29.46"/>
  </r>
  <r>
    <x v="301"/>
    <x v="90"/>
    <s v="CUST0272"/>
    <s v="Small Business"/>
    <x v="6"/>
    <s v="Technology"/>
    <x v="0"/>
    <n v="2"/>
    <n v="955.14"/>
    <x v="2"/>
    <x v="300"/>
    <n v="137.06"/>
  </r>
  <r>
    <x v="302"/>
    <x v="90"/>
    <s v="CUST0218"/>
    <s v="Consumer"/>
    <x v="10"/>
    <s v="Office Supplies"/>
    <x v="3"/>
    <n v="1"/>
    <n v="8.23"/>
    <x v="2"/>
    <x v="301"/>
    <n v="2.0499999999999998"/>
  </r>
  <r>
    <x v="303"/>
    <x v="91"/>
    <s v="CUST0062"/>
    <s v="Corporate"/>
    <x v="0"/>
    <s v="Office Supplies"/>
    <x v="2"/>
    <n v="1"/>
    <n v="14.67"/>
    <x v="0"/>
    <x v="302"/>
    <n v="1.41"/>
  </r>
  <r>
    <x v="304"/>
    <x v="91"/>
    <s v="CUST0146"/>
    <s v="Small Business"/>
    <x v="11"/>
    <s v="Lifestyle"/>
    <x v="1"/>
    <n v="2"/>
    <n v="23.26"/>
    <x v="2"/>
    <x v="303"/>
    <n v="11.46"/>
  </r>
  <r>
    <x v="305"/>
    <x v="91"/>
    <s v="CUST0249"/>
    <s v="Small Business"/>
    <x v="10"/>
    <s v="Office Supplies"/>
    <x v="1"/>
    <n v="1"/>
    <n v="8.35"/>
    <x v="1"/>
    <x v="304"/>
    <n v="0.79"/>
  </r>
  <r>
    <x v="306"/>
    <x v="91"/>
    <s v="CUST0255"/>
    <s v="Corporate"/>
    <x v="2"/>
    <s v="Technology"/>
    <x v="2"/>
    <n v="4"/>
    <n v="73.930000000000007"/>
    <x v="0"/>
    <x v="305"/>
    <n v="25.95"/>
  </r>
  <r>
    <x v="307"/>
    <x v="91"/>
    <s v="CUST0079"/>
    <s v="Consumer"/>
    <x v="8"/>
    <s v="Furniture"/>
    <x v="0"/>
    <n v="1"/>
    <n v="312.79000000000002"/>
    <x v="0"/>
    <x v="306"/>
    <n v="30.63"/>
  </r>
  <r>
    <x v="308"/>
    <x v="91"/>
    <s v="CUST0270"/>
    <s v="Consumer"/>
    <x v="8"/>
    <s v="Furniture"/>
    <x v="2"/>
    <n v="3"/>
    <n v="318.23"/>
    <x v="3"/>
    <x v="307"/>
    <n v="165.25"/>
  </r>
  <r>
    <x v="309"/>
    <x v="92"/>
    <s v="CUST0142"/>
    <s v="Consumer"/>
    <x v="5"/>
    <s v="Lifestyle"/>
    <x v="3"/>
    <n v="4"/>
    <n v="50.52"/>
    <x v="3"/>
    <x v="308"/>
    <n v="22.74"/>
  </r>
  <r>
    <x v="310"/>
    <x v="93"/>
    <s v="CUST0195"/>
    <s v="Corporate"/>
    <x v="3"/>
    <s v="Furniture"/>
    <x v="2"/>
    <n v="2"/>
    <n v="45.06"/>
    <x v="0"/>
    <x v="309"/>
    <n v="12.11"/>
  </r>
  <r>
    <x v="311"/>
    <x v="93"/>
    <s v="CUST0260"/>
    <s v="Corporate"/>
    <x v="4"/>
    <s v="Technology"/>
    <x v="1"/>
    <n v="4"/>
    <n v="211.79"/>
    <x v="0"/>
    <x v="310"/>
    <n v="146.09"/>
  </r>
  <r>
    <x v="312"/>
    <x v="93"/>
    <s v="CUST0084"/>
    <s v="Consumer"/>
    <x v="7"/>
    <s v="Technology"/>
    <x v="0"/>
    <n v="2"/>
    <n v="30.48"/>
    <x v="3"/>
    <x v="311"/>
    <n v="5.79"/>
  </r>
  <r>
    <x v="313"/>
    <x v="93"/>
    <s v="CUST0177"/>
    <s v="Corporate"/>
    <x v="9"/>
    <s v="Office Supplies"/>
    <x v="0"/>
    <n v="1"/>
    <n v="17.37"/>
    <x v="3"/>
    <x v="312"/>
    <n v="3.43"/>
  </r>
  <r>
    <x v="314"/>
    <x v="93"/>
    <s v="CUST0216"/>
    <s v="Consumer"/>
    <x v="8"/>
    <s v="Furniture"/>
    <x v="0"/>
    <n v="1"/>
    <n v="345.78"/>
    <x v="3"/>
    <x v="313"/>
    <n v="49.65"/>
  </r>
  <r>
    <x v="315"/>
    <x v="93"/>
    <s v="CUST0278"/>
    <s v="Consumer"/>
    <x v="6"/>
    <s v="Technology"/>
    <x v="2"/>
    <n v="1"/>
    <n v="915.88"/>
    <x v="3"/>
    <x v="314"/>
    <n v="103.36"/>
  </r>
  <r>
    <x v="316"/>
    <x v="94"/>
    <s v="CUST0101"/>
    <s v="Consumer"/>
    <x v="5"/>
    <s v="Lifestyle"/>
    <x v="0"/>
    <n v="3"/>
    <n v="57.54"/>
    <x v="2"/>
    <x v="315"/>
    <n v="15.69"/>
  </r>
  <r>
    <x v="317"/>
    <x v="94"/>
    <s v="CUST0049"/>
    <s v="Consumer"/>
    <x v="0"/>
    <s v="Office Supplies"/>
    <x v="0"/>
    <n v="1"/>
    <n v="14.81"/>
    <x v="3"/>
    <x v="99"/>
    <n v="1.68"/>
  </r>
  <r>
    <x v="318"/>
    <x v="94"/>
    <s v="CUST0104"/>
    <s v="Small Business"/>
    <x v="2"/>
    <s v="Technology"/>
    <x v="1"/>
    <n v="4"/>
    <n v="77.13"/>
    <x v="0"/>
    <x v="316"/>
    <n v="22.05"/>
  </r>
  <r>
    <x v="319"/>
    <x v="95"/>
    <s v="CUST0253"/>
    <s v="Corporate"/>
    <x v="2"/>
    <s v="Technology"/>
    <x v="0"/>
    <n v="2"/>
    <n v="79.36"/>
    <x v="2"/>
    <x v="317"/>
    <n v="14.61"/>
  </r>
  <r>
    <x v="320"/>
    <x v="96"/>
    <s v="CUST0126"/>
    <s v="Consumer"/>
    <x v="6"/>
    <s v="Technology"/>
    <x v="2"/>
    <n v="5"/>
    <n v="861.28"/>
    <x v="2"/>
    <x v="318"/>
    <n v="559.48"/>
  </r>
  <r>
    <x v="321"/>
    <x v="96"/>
    <s v="CUST0137"/>
    <s v="Consumer"/>
    <x v="11"/>
    <s v="Lifestyle"/>
    <x v="3"/>
    <n v="2"/>
    <n v="22.19"/>
    <x v="3"/>
    <x v="319"/>
    <n v="5.61"/>
  </r>
  <r>
    <x v="322"/>
    <x v="97"/>
    <s v="CUST0133"/>
    <s v="Consumer"/>
    <x v="9"/>
    <s v="Office Supplies"/>
    <x v="0"/>
    <n v="1"/>
    <n v="18.100000000000001"/>
    <x v="2"/>
    <x v="35"/>
    <n v="3.6"/>
  </r>
  <r>
    <x v="323"/>
    <x v="97"/>
    <s v="CUST0089"/>
    <s v="Corporate"/>
    <x v="2"/>
    <s v="Technology"/>
    <x v="2"/>
    <n v="3"/>
    <n v="79.77"/>
    <x v="2"/>
    <x v="320"/>
    <n v="21.02"/>
  </r>
  <r>
    <x v="324"/>
    <x v="97"/>
    <s v="CUST0012"/>
    <s v="Consumer"/>
    <x v="7"/>
    <s v="Technology"/>
    <x v="3"/>
    <n v="3"/>
    <n v="29.62"/>
    <x v="4"/>
    <x v="321"/>
    <n v="12.26"/>
  </r>
  <r>
    <x v="325"/>
    <x v="98"/>
    <s v="CUST0111"/>
    <s v="Consumer"/>
    <x v="9"/>
    <s v="Office Supplies"/>
    <x v="0"/>
    <n v="1"/>
    <n v="18.690000000000001"/>
    <x v="3"/>
    <x v="322"/>
    <n v="3.21"/>
  </r>
  <r>
    <x v="326"/>
    <x v="98"/>
    <s v="CUST0100"/>
    <s v="Corporate"/>
    <x v="4"/>
    <s v="Technology"/>
    <x v="2"/>
    <n v="2"/>
    <n v="195.55"/>
    <x v="3"/>
    <x v="323"/>
    <n v="35.83"/>
  </r>
  <r>
    <x v="327"/>
    <x v="98"/>
    <s v="CUST0146"/>
    <s v="Consumer"/>
    <x v="5"/>
    <s v="Lifestyle"/>
    <x v="2"/>
    <n v="2"/>
    <n v="52.33"/>
    <x v="3"/>
    <x v="324"/>
    <n v="9.6199999999999992"/>
  </r>
  <r>
    <x v="328"/>
    <x v="99"/>
    <s v="CUST0253"/>
    <s v="Small Business"/>
    <x v="5"/>
    <s v="Lifestyle"/>
    <x v="3"/>
    <n v="2"/>
    <n v="50.24"/>
    <x v="3"/>
    <x v="325"/>
    <n v="8.6"/>
  </r>
  <r>
    <x v="329"/>
    <x v="99"/>
    <s v="CUST0287"/>
    <s v="Corporate"/>
    <x v="8"/>
    <s v="Furniture"/>
    <x v="3"/>
    <n v="3"/>
    <n v="360.84"/>
    <x v="0"/>
    <x v="326"/>
    <n v="211.21"/>
  </r>
  <r>
    <x v="330"/>
    <x v="99"/>
    <s v="CUST0127"/>
    <s v="Corporate"/>
    <x v="11"/>
    <s v="Lifestyle"/>
    <x v="3"/>
    <n v="4"/>
    <n v="22.14"/>
    <x v="0"/>
    <x v="327"/>
    <n v="18.07"/>
  </r>
  <r>
    <x v="331"/>
    <x v="99"/>
    <s v="CUST0218"/>
    <s v="Corporate"/>
    <x v="11"/>
    <s v="Lifestyle"/>
    <x v="3"/>
    <n v="4"/>
    <n v="22.99"/>
    <x v="1"/>
    <x v="328"/>
    <n v="15.17"/>
  </r>
  <r>
    <x v="332"/>
    <x v="99"/>
    <s v="CUST0048"/>
    <s v="Small Business"/>
    <x v="7"/>
    <s v="Technology"/>
    <x v="1"/>
    <n v="1"/>
    <n v="27.27"/>
    <x v="0"/>
    <x v="329"/>
    <n v="2.9"/>
  </r>
  <r>
    <x v="333"/>
    <x v="99"/>
    <s v="CUST0112"/>
    <s v="Small Business"/>
    <x v="2"/>
    <s v="Technology"/>
    <x v="0"/>
    <n v="1"/>
    <n v="78.5"/>
    <x v="2"/>
    <x v="330"/>
    <n v="14.49"/>
  </r>
  <r>
    <x v="334"/>
    <x v="100"/>
    <s v="CUST0269"/>
    <s v="Consumer"/>
    <x v="10"/>
    <s v="Office Supplies"/>
    <x v="2"/>
    <n v="4"/>
    <n v="8.33"/>
    <x v="3"/>
    <x v="331"/>
    <n v="5.82"/>
  </r>
  <r>
    <x v="335"/>
    <x v="100"/>
    <s v="CUST0133"/>
    <s v="Small Business"/>
    <x v="1"/>
    <s v="Furniture"/>
    <x v="0"/>
    <n v="3"/>
    <n v="172.54"/>
    <x v="0"/>
    <x v="332"/>
    <n v="34.25"/>
  </r>
  <r>
    <x v="336"/>
    <x v="100"/>
    <s v="CUST0121"/>
    <s v="Corporate"/>
    <x v="4"/>
    <s v="Technology"/>
    <x v="0"/>
    <n v="1"/>
    <n v="206.55"/>
    <x v="3"/>
    <x v="333"/>
    <n v="55.48"/>
  </r>
  <r>
    <x v="337"/>
    <x v="100"/>
    <s v="CUST0164"/>
    <s v="Consumer"/>
    <x v="2"/>
    <s v="Technology"/>
    <x v="0"/>
    <n v="2"/>
    <n v="76.72"/>
    <x v="1"/>
    <x v="334"/>
    <n v="27.76"/>
  </r>
  <r>
    <x v="338"/>
    <x v="101"/>
    <s v="CUST0137"/>
    <s v="Corporate"/>
    <x v="4"/>
    <s v="Technology"/>
    <x v="2"/>
    <n v="2"/>
    <n v="208.14"/>
    <x v="2"/>
    <x v="335"/>
    <n v="40.79"/>
  </r>
  <r>
    <x v="339"/>
    <x v="101"/>
    <s v="CUST0011"/>
    <s v="Consumer"/>
    <x v="6"/>
    <s v="Technology"/>
    <x v="1"/>
    <n v="1"/>
    <n v="977.51"/>
    <x v="0"/>
    <x v="336"/>
    <n v="122.53"/>
  </r>
  <r>
    <x v="340"/>
    <x v="101"/>
    <s v="CUST0018"/>
    <s v="Corporate"/>
    <x v="5"/>
    <s v="Lifestyle"/>
    <x v="3"/>
    <n v="2"/>
    <n v="49.82"/>
    <x v="0"/>
    <x v="337"/>
    <n v="15.47"/>
  </r>
  <r>
    <x v="341"/>
    <x v="101"/>
    <s v="CUST0009"/>
    <s v="Consumer"/>
    <x v="3"/>
    <s v="Furniture"/>
    <x v="2"/>
    <n v="2"/>
    <n v="45"/>
    <x v="4"/>
    <x v="338"/>
    <n v="3.48"/>
  </r>
  <r>
    <x v="342"/>
    <x v="102"/>
    <s v="CUST0209"/>
    <s v="Consumer"/>
    <x v="7"/>
    <s v="Technology"/>
    <x v="3"/>
    <n v="3"/>
    <n v="28.21"/>
    <x v="2"/>
    <x v="339"/>
    <n v="21.59"/>
  </r>
  <r>
    <x v="343"/>
    <x v="102"/>
    <s v="CUST0275"/>
    <s v="Small Business"/>
    <x v="5"/>
    <s v="Lifestyle"/>
    <x v="0"/>
    <n v="1"/>
    <n v="52.55"/>
    <x v="0"/>
    <x v="340"/>
    <n v="11.03"/>
  </r>
  <r>
    <x v="344"/>
    <x v="102"/>
    <s v="CUST0154"/>
    <s v="Consumer"/>
    <x v="5"/>
    <s v="Lifestyle"/>
    <x v="3"/>
    <n v="2"/>
    <n v="57.68"/>
    <x v="3"/>
    <x v="341"/>
    <n v="30.44"/>
  </r>
  <r>
    <x v="345"/>
    <x v="102"/>
    <s v="CUST0275"/>
    <s v="Consumer"/>
    <x v="3"/>
    <s v="Furniture"/>
    <x v="2"/>
    <n v="5"/>
    <n v="40.99"/>
    <x v="0"/>
    <x v="342"/>
    <n v="17.940000000000001"/>
  </r>
  <r>
    <x v="346"/>
    <x v="102"/>
    <s v="CUST0271"/>
    <s v="Small Business"/>
    <x v="1"/>
    <s v="Furniture"/>
    <x v="2"/>
    <n v="1"/>
    <n v="167.96"/>
    <x v="2"/>
    <x v="343"/>
    <n v="33.479999999999997"/>
  </r>
  <r>
    <x v="347"/>
    <x v="102"/>
    <s v="CUST0194"/>
    <s v="Corporate"/>
    <x v="9"/>
    <s v="Office Supplies"/>
    <x v="0"/>
    <n v="2"/>
    <n v="16.600000000000001"/>
    <x v="0"/>
    <x v="344"/>
    <n v="6.78"/>
  </r>
  <r>
    <x v="348"/>
    <x v="102"/>
    <s v="CUST0039"/>
    <s v="Small Business"/>
    <x v="11"/>
    <s v="Lifestyle"/>
    <x v="0"/>
    <n v="3"/>
    <n v="21.9"/>
    <x v="3"/>
    <x v="345"/>
    <n v="14.69"/>
  </r>
  <r>
    <x v="349"/>
    <x v="102"/>
    <s v="CUST0254"/>
    <s v="Consumer"/>
    <x v="2"/>
    <s v="Technology"/>
    <x v="3"/>
    <n v="3"/>
    <n v="76.89"/>
    <x v="3"/>
    <x v="346"/>
    <n v="25.4"/>
  </r>
  <r>
    <x v="350"/>
    <x v="103"/>
    <s v="CUST0115"/>
    <s v="Corporate"/>
    <x v="7"/>
    <s v="Technology"/>
    <x v="0"/>
    <n v="1"/>
    <n v="29.3"/>
    <x v="2"/>
    <x v="347"/>
    <n v="6.9"/>
  </r>
  <r>
    <x v="351"/>
    <x v="103"/>
    <s v="CUST0066"/>
    <s v="Corporate"/>
    <x v="6"/>
    <s v="Technology"/>
    <x v="2"/>
    <n v="3"/>
    <n v="939.88"/>
    <x v="3"/>
    <x v="348"/>
    <n v="295.19"/>
  </r>
  <r>
    <x v="352"/>
    <x v="103"/>
    <s v="CUST0006"/>
    <s v="Corporate"/>
    <x v="4"/>
    <s v="Technology"/>
    <x v="2"/>
    <n v="2"/>
    <n v="211.99"/>
    <x v="3"/>
    <x v="349"/>
    <n v="57.19"/>
  </r>
  <r>
    <x v="353"/>
    <x v="104"/>
    <s v="CUST0070"/>
    <s v="Corporate"/>
    <x v="5"/>
    <s v="Lifestyle"/>
    <x v="3"/>
    <n v="2"/>
    <n v="59.39"/>
    <x v="3"/>
    <x v="350"/>
    <n v="31.54"/>
  </r>
  <r>
    <x v="354"/>
    <x v="104"/>
    <s v="CUST0195"/>
    <s v="Consumer"/>
    <x v="0"/>
    <s v="Office Supplies"/>
    <x v="3"/>
    <n v="4"/>
    <n v="12.8"/>
    <x v="3"/>
    <x v="351"/>
    <n v="4.8"/>
  </r>
  <r>
    <x v="355"/>
    <x v="104"/>
    <s v="CUST0107"/>
    <s v="Consumer"/>
    <x v="9"/>
    <s v="Office Supplies"/>
    <x v="0"/>
    <n v="3"/>
    <n v="16.75"/>
    <x v="0"/>
    <x v="352"/>
    <n v="11.17"/>
  </r>
  <r>
    <x v="356"/>
    <x v="104"/>
    <s v="CUST0220"/>
    <s v="Consumer"/>
    <x v="6"/>
    <s v="Technology"/>
    <x v="3"/>
    <n v="1"/>
    <n v="952.44"/>
    <x v="3"/>
    <x v="353"/>
    <n v="237.12"/>
  </r>
  <r>
    <x v="357"/>
    <x v="105"/>
    <s v="CUST0161"/>
    <s v="Small Business"/>
    <x v="0"/>
    <s v="Office Supplies"/>
    <x v="1"/>
    <n v="1"/>
    <n v="15.38"/>
    <x v="2"/>
    <x v="354"/>
    <n v="3.54"/>
  </r>
  <r>
    <x v="358"/>
    <x v="105"/>
    <s v="CUST0121"/>
    <s v="Corporate"/>
    <x v="2"/>
    <s v="Technology"/>
    <x v="2"/>
    <n v="3"/>
    <n v="76.819999999999993"/>
    <x v="4"/>
    <x v="355"/>
    <n v="26.36"/>
  </r>
  <r>
    <x v="359"/>
    <x v="105"/>
    <s v="CUST0043"/>
    <s v="Small Business"/>
    <x v="11"/>
    <s v="Lifestyle"/>
    <x v="0"/>
    <n v="1"/>
    <n v="22.2"/>
    <x v="1"/>
    <x v="356"/>
    <n v="3.09"/>
  </r>
  <r>
    <x v="360"/>
    <x v="105"/>
    <s v="CUST0131"/>
    <s v="Corporate"/>
    <x v="0"/>
    <s v="Office Supplies"/>
    <x v="0"/>
    <n v="2"/>
    <n v="15.3"/>
    <x v="0"/>
    <x v="357"/>
    <n v="2.17"/>
  </r>
  <r>
    <x v="361"/>
    <x v="105"/>
    <s v="CUST0206"/>
    <s v="Consumer"/>
    <x v="1"/>
    <s v="Furniture"/>
    <x v="1"/>
    <n v="4"/>
    <n v="167.16"/>
    <x v="2"/>
    <x v="358"/>
    <n v="135.44999999999999"/>
  </r>
  <r>
    <x v="362"/>
    <x v="105"/>
    <s v="CUST0007"/>
    <s v="Consumer"/>
    <x v="11"/>
    <s v="Lifestyle"/>
    <x v="2"/>
    <n v="1"/>
    <n v="22.34"/>
    <x v="3"/>
    <x v="359"/>
    <n v="3.47"/>
  </r>
  <r>
    <x v="363"/>
    <x v="105"/>
    <s v="CUST0064"/>
    <s v="Consumer"/>
    <x v="8"/>
    <s v="Furniture"/>
    <x v="2"/>
    <n v="1"/>
    <n v="349.44"/>
    <x v="3"/>
    <x v="360"/>
    <n v="30.38"/>
  </r>
  <r>
    <x v="364"/>
    <x v="105"/>
    <s v="CUST0039"/>
    <s v="Consumer"/>
    <x v="9"/>
    <s v="Office Supplies"/>
    <x v="0"/>
    <n v="1"/>
    <n v="19.45"/>
    <x v="3"/>
    <x v="361"/>
    <n v="1.86"/>
  </r>
  <r>
    <x v="365"/>
    <x v="106"/>
    <s v="CUST0110"/>
    <s v="Corporate"/>
    <x v="6"/>
    <s v="Technology"/>
    <x v="0"/>
    <n v="2"/>
    <n v="975.21"/>
    <x v="3"/>
    <x v="362"/>
    <n v="536.76"/>
  </r>
  <r>
    <x v="366"/>
    <x v="106"/>
    <s v="CUST0067"/>
    <s v="Consumer"/>
    <x v="5"/>
    <s v="Lifestyle"/>
    <x v="3"/>
    <n v="1"/>
    <n v="49.84"/>
    <x v="0"/>
    <x v="363"/>
    <n v="7.94"/>
  </r>
  <r>
    <x v="367"/>
    <x v="106"/>
    <s v="CUST0155"/>
    <s v="Consumer"/>
    <x v="8"/>
    <s v="Furniture"/>
    <x v="3"/>
    <n v="1"/>
    <n v="354.78"/>
    <x v="0"/>
    <x v="364"/>
    <n v="35.96"/>
  </r>
  <r>
    <x v="368"/>
    <x v="106"/>
    <s v="CUST0199"/>
    <s v="Consumer"/>
    <x v="9"/>
    <s v="Office Supplies"/>
    <x v="2"/>
    <n v="1"/>
    <n v="18.13"/>
    <x v="3"/>
    <x v="365"/>
    <n v="3.08"/>
  </r>
  <r>
    <x v="369"/>
    <x v="106"/>
    <s v="CUST0193"/>
    <s v="Small Business"/>
    <x v="10"/>
    <s v="Office Supplies"/>
    <x v="1"/>
    <n v="1"/>
    <n v="9.83"/>
    <x v="0"/>
    <x v="366"/>
    <n v="1.8"/>
  </r>
  <r>
    <x v="370"/>
    <x v="106"/>
    <s v="CUST0229"/>
    <s v="Corporate"/>
    <x v="0"/>
    <s v="Office Supplies"/>
    <x v="1"/>
    <n v="1"/>
    <n v="15.12"/>
    <x v="3"/>
    <x v="164"/>
    <n v="3.05"/>
  </r>
  <r>
    <x v="371"/>
    <x v="107"/>
    <s v="CUST0214"/>
    <s v="Consumer"/>
    <x v="0"/>
    <s v="Office Supplies"/>
    <x v="3"/>
    <n v="1"/>
    <n v="15.3"/>
    <x v="4"/>
    <x v="367"/>
    <n v="1.31"/>
  </r>
  <r>
    <x v="372"/>
    <x v="107"/>
    <s v="CUST0081"/>
    <s v="Consumer"/>
    <x v="11"/>
    <s v="Lifestyle"/>
    <x v="3"/>
    <n v="1"/>
    <n v="20.239999999999998"/>
    <x v="0"/>
    <x v="368"/>
    <n v="4.4400000000000004"/>
  </r>
  <r>
    <x v="373"/>
    <x v="107"/>
    <s v="CUST0081"/>
    <s v="Corporate"/>
    <x v="3"/>
    <s v="Furniture"/>
    <x v="0"/>
    <n v="1"/>
    <n v="41.62"/>
    <x v="1"/>
    <x v="369"/>
    <n v="7.04"/>
  </r>
  <r>
    <x v="374"/>
    <x v="108"/>
    <s v="CUST0036"/>
    <s v="Corporate"/>
    <x v="11"/>
    <s v="Lifestyle"/>
    <x v="0"/>
    <n v="2"/>
    <n v="23.92"/>
    <x v="0"/>
    <x v="370"/>
    <n v="8.9700000000000006"/>
  </r>
  <r>
    <x v="375"/>
    <x v="108"/>
    <s v="CUST0260"/>
    <s v="Consumer"/>
    <x v="5"/>
    <s v="Lifestyle"/>
    <x v="2"/>
    <n v="2"/>
    <n v="52.54"/>
    <x v="4"/>
    <x v="371"/>
    <n v="16.96"/>
  </r>
  <r>
    <x v="376"/>
    <x v="108"/>
    <s v="CUST0087"/>
    <s v="Consumer"/>
    <x v="4"/>
    <s v="Technology"/>
    <x v="0"/>
    <n v="2"/>
    <n v="209.77"/>
    <x v="0"/>
    <x v="372"/>
    <n v="38.33"/>
  </r>
  <r>
    <x v="377"/>
    <x v="108"/>
    <s v="CUST0118"/>
    <s v="Consumer"/>
    <x v="5"/>
    <s v="Lifestyle"/>
    <x v="0"/>
    <n v="1"/>
    <n v="53.17"/>
    <x v="0"/>
    <x v="373"/>
    <n v="9.83"/>
  </r>
  <r>
    <x v="378"/>
    <x v="109"/>
    <s v="CUST0077"/>
    <s v="Consumer"/>
    <x v="4"/>
    <s v="Technology"/>
    <x v="2"/>
    <n v="2"/>
    <n v="224.72"/>
    <x v="2"/>
    <x v="374"/>
    <n v="49.8"/>
  </r>
  <r>
    <x v="379"/>
    <x v="109"/>
    <s v="CUST0004"/>
    <s v="Corporate"/>
    <x v="0"/>
    <s v="Office Supplies"/>
    <x v="2"/>
    <n v="1"/>
    <n v="15.04"/>
    <x v="0"/>
    <x v="375"/>
    <n v="0.83"/>
  </r>
  <r>
    <x v="380"/>
    <x v="110"/>
    <s v="CUST0190"/>
    <s v="Consumer"/>
    <x v="6"/>
    <s v="Technology"/>
    <x v="2"/>
    <n v="1"/>
    <n v="927.11"/>
    <x v="2"/>
    <x v="376"/>
    <n v="101.27"/>
  </r>
  <r>
    <x v="381"/>
    <x v="110"/>
    <s v="CUST0173"/>
    <s v="Consumer"/>
    <x v="11"/>
    <s v="Lifestyle"/>
    <x v="0"/>
    <n v="2"/>
    <n v="20.54"/>
    <x v="2"/>
    <x v="377"/>
    <n v="8.48"/>
  </r>
  <r>
    <x v="382"/>
    <x v="110"/>
    <s v="CUST0179"/>
    <s v="Consumer"/>
    <x v="7"/>
    <s v="Technology"/>
    <x v="3"/>
    <n v="1"/>
    <n v="25.67"/>
    <x v="2"/>
    <x v="378"/>
    <n v="5.0599999999999996"/>
  </r>
  <r>
    <x v="383"/>
    <x v="110"/>
    <s v="CUST0023"/>
    <s v="Corporate"/>
    <x v="2"/>
    <s v="Technology"/>
    <x v="1"/>
    <n v="2"/>
    <n v="81.89"/>
    <x v="1"/>
    <x v="379"/>
    <n v="16.829999999999998"/>
  </r>
  <r>
    <x v="384"/>
    <x v="110"/>
    <s v="CUST0120"/>
    <s v="Consumer"/>
    <x v="9"/>
    <s v="Office Supplies"/>
    <x v="3"/>
    <n v="3"/>
    <n v="17.829999999999998"/>
    <x v="3"/>
    <x v="380"/>
    <n v="9.6999999999999993"/>
  </r>
  <r>
    <x v="385"/>
    <x v="110"/>
    <s v="CUST0187"/>
    <s v="Small Business"/>
    <x v="9"/>
    <s v="Office Supplies"/>
    <x v="1"/>
    <n v="2"/>
    <n v="18.93"/>
    <x v="2"/>
    <x v="381"/>
    <n v="7.68"/>
  </r>
  <r>
    <x v="386"/>
    <x v="110"/>
    <s v="CUST0295"/>
    <s v="Consumer"/>
    <x v="11"/>
    <s v="Lifestyle"/>
    <x v="1"/>
    <n v="2"/>
    <n v="23.12"/>
    <x v="1"/>
    <x v="382"/>
    <n v="7.72"/>
  </r>
  <r>
    <x v="387"/>
    <x v="111"/>
    <s v="CUST0050"/>
    <s v="Consumer"/>
    <x v="6"/>
    <s v="Technology"/>
    <x v="0"/>
    <n v="2"/>
    <n v="916.96"/>
    <x v="3"/>
    <x v="383"/>
    <n v="172.72"/>
  </r>
  <r>
    <x v="388"/>
    <x v="111"/>
    <s v="CUST0123"/>
    <s v="Consumer"/>
    <x v="9"/>
    <s v="Office Supplies"/>
    <x v="0"/>
    <n v="2"/>
    <n v="19.079999999999998"/>
    <x v="0"/>
    <x v="384"/>
    <n v="3.52"/>
  </r>
  <r>
    <x v="389"/>
    <x v="112"/>
    <s v="CUST0028"/>
    <s v="Corporate"/>
    <x v="4"/>
    <s v="Technology"/>
    <x v="0"/>
    <n v="2"/>
    <n v="228.26"/>
    <x v="2"/>
    <x v="385"/>
    <n v="52.81"/>
  </r>
  <r>
    <x v="390"/>
    <x v="112"/>
    <s v="CUST0133"/>
    <s v="Corporate"/>
    <x v="6"/>
    <s v="Technology"/>
    <x v="0"/>
    <n v="3"/>
    <n v="956.66"/>
    <x v="0"/>
    <x v="386"/>
    <n v="381.62"/>
  </r>
  <r>
    <x v="391"/>
    <x v="112"/>
    <s v="CUST0138"/>
    <s v="Consumer"/>
    <x v="8"/>
    <s v="Furniture"/>
    <x v="0"/>
    <n v="3"/>
    <n v="322.02"/>
    <x v="3"/>
    <x v="387"/>
    <n v="142.46"/>
  </r>
  <r>
    <x v="392"/>
    <x v="112"/>
    <s v="CUST0284"/>
    <s v="Corporate"/>
    <x v="9"/>
    <s v="Office Supplies"/>
    <x v="0"/>
    <n v="1"/>
    <n v="18.32"/>
    <x v="2"/>
    <x v="388"/>
    <n v="4.53"/>
  </r>
  <r>
    <x v="393"/>
    <x v="113"/>
    <s v="CUST0162"/>
    <s v="Corporate"/>
    <x v="3"/>
    <s v="Furniture"/>
    <x v="0"/>
    <n v="1"/>
    <n v="42.52"/>
    <x v="2"/>
    <x v="389"/>
    <n v="7.27"/>
  </r>
  <r>
    <x v="394"/>
    <x v="113"/>
    <s v="CUST0113"/>
    <s v="Consumer"/>
    <x v="10"/>
    <s v="Office Supplies"/>
    <x v="1"/>
    <n v="3"/>
    <n v="9.4600000000000009"/>
    <x v="3"/>
    <x v="390"/>
    <n v="3.79"/>
  </r>
  <r>
    <x v="395"/>
    <x v="114"/>
    <s v="CUST0247"/>
    <s v="Small Business"/>
    <x v="5"/>
    <s v="Lifestyle"/>
    <x v="3"/>
    <n v="2"/>
    <n v="59.44"/>
    <x v="2"/>
    <x v="391"/>
    <n v="21.34"/>
  </r>
  <r>
    <x v="396"/>
    <x v="114"/>
    <s v="CUST0069"/>
    <s v="Consumer"/>
    <x v="8"/>
    <s v="Furniture"/>
    <x v="2"/>
    <n v="3"/>
    <n v="316.23"/>
    <x v="3"/>
    <x v="392"/>
    <n v="103.35"/>
  </r>
  <r>
    <x v="397"/>
    <x v="114"/>
    <s v="CUST0218"/>
    <s v="Consumer"/>
    <x v="3"/>
    <s v="Furniture"/>
    <x v="3"/>
    <n v="1"/>
    <n v="38.94"/>
    <x v="3"/>
    <x v="393"/>
    <n v="8.5299999999999994"/>
  </r>
  <r>
    <x v="398"/>
    <x v="114"/>
    <s v="CUST0114"/>
    <s v="Consumer"/>
    <x v="9"/>
    <s v="Office Supplies"/>
    <x v="3"/>
    <n v="2"/>
    <n v="19.16"/>
    <x v="3"/>
    <x v="394"/>
    <n v="4.87"/>
  </r>
  <r>
    <x v="399"/>
    <x v="114"/>
    <s v="CUST0124"/>
    <s v="Small Business"/>
    <x v="2"/>
    <s v="Technology"/>
    <x v="2"/>
    <n v="1"/>
    <n v="79.78"/>
    <x v="2"/>
    <x v="395"/>
    <n v="10.7"/>
  </r>
  <r>
    <x v="400"/>
    <x v="115"/>
    <s v="CUST0108"/>
    <s v="Corporate"/>
    <x v="11"/>
    <s v="Lifestyle"/>
    <x v="1"/>
    <n v="2"/>
    <n v="23.34"/>
    <x v="1"/>
    <x v="396"/>
    <n v="6.15"/>
  </r>
  <r>
    <x v="401"/>
    <x v="115"/>
    <s v="CUST0146"/>
    <s v="Consumer"/>
    <x v="4"/>
    <s v="Technology"/>
    <x v="1"/>
    <n v="2"/>
    <n v="203.32"/>
    <x v="3"/>
    <x v="397"/>
    <n v="47.8"/>
  </r>
  <r>
    <x v="402"/>
    <x v="115"/>
    <s v="CUST0136"/>
    <s v="Corporate"/>
    <x v="5"/>
    <s v="Lifestyle"/>
    <x v="2"/>
    <n v="2"/>
    <n v="53.08"/>
    <x v="2"/>
    <x v="398"/>
    <n v="16.45"/>
  </r>
  <r>
    <x v="403"/>
    <x v="115"/>
    <s v="CUST0291"/>
    <s v="Consumer"/>
    <x v="9"/>
    <s v="Office Supplies"/>
    <x v="0"/>
    <n v="2"/>
    <n v="19.34"/>
    <x v="3"/>
    <x v="399"/>
    <n v="7.84"/>
  </r>
  <r>
    <x v="404"/>
    <x v="115"/>
    <s v="CUST0232"/>
    <s v="Consumer"/>
    <x v="9"/>
    <s v="Office Supplies"/>
    <x v="2"/>
    <n v="3"/>
    <n v="19.46"/>
    <x v="3"/>
    <x v="400"/>
    <n v="6.15"/>
  </r>
  <r>
    <x v="405"/>
    <x v="115"/>
    <s v="CUST0152"/>
    <s v="Consumer"/>
    <x v="4"/>
    <s v="Technology"/>
    <x v="0"/>
    <n v="1"/>
    <n v="209.36"/>
    <x v="2"/>
    <x v="401"/>
    <n v="41.56"/>
  </r>
  <r>
    <x v="406"/>
    <x v="116"/>
    <s v="CUST0025"/>
    <s v="Consumer"/>
    <x v="8"/>
    <s v="Furniture"/>
    <x v="1"/>
    <n v="1"/>
    <n v="313.86"/>
    <x v="3"/>
    <x v="402"/>
    <n v="63.62"/>
  </r>
  <r>
    <x v="407"/>
    <x v="116"/>
    <s v="CUST0046"/>
    <s v="Consumer"/>
    <x v="2"/>
    <s v="Technology"/>
    <x v="3"/>
    <n v="1"/>
    <n v="68.83"/>
    <x v="3"/>
    <x v="403"/>
    <n v="7.17"/>
  </r>
  <r>
    <x v="408"/>
    <x v="116"/>
    <s v="CUST0045"/>
    <s v="Corporate"/>
    <x v="6"/>
    <s v="Technology"/>
    <x v="3"/>
    <n v="3"/>
    <n v="871.83"/>
    <x v="0"/>
    <x v="404"/>
    <n v="469.41"/>
  </r>
  <r>
    <x v="409"/>
    <x v="116"/>
    <s v="CUST0217"/>
    <s v="Consumer"/>
    <x v="7"/>
    <s v="Technology"/>
    <x v="3"/>
    <n v="5"/>
    <n v="27.28"/>
    <x v="2"/>
    <x v="405"/>
    <n v="29.53"/>
  </r>
  <r>
    <x v="410"/>
    <x v="116"/>
    <s v="CUST0192"/>
    <s v="Consumer"/>
    <x v="6"/>
    <s v="Technology"/>
    <x v="0"/>
    <n v="1"/>
    <n v="1032.58"/>
    <x v="3"/>
    <x v="406"/>
    <n v="214.42"/>
  </r>
  <r>
    <x v="411"/>
    <x v="116"/>
    <s v="CUST0061"/>
    <s v="Small Business"/>
    <x v="2"/>
    <s v="Technology"/>
    <x v="3"/>
    <n v="2"/>
    <n v="73.47"/>
    <x v="2"/>
    <x v="407"/>
    <n v="18.16"/>
  </r>
  <r>
    <x v="412"/>
    <x v="116"/>
    <s v="CUST0164"/>
    <s v="Corporate"/>
    <x v="7"/>
    <s v="Technology"/>
    <x v="3"/>
    <n v="1"/>
    <n v="26.57"/>
    <x v="0"/>
    <x v="408"/>
    <n v="3.31"/>
  </r>
  <r>
    <x v="413"/>
    <x v="117"/>
    <s v="CUST0089"/>
    <s v="Small Business"/>
    <x v="4"/>
    <s v="Technology"/>
    <x v="3"/>
    <n v="2"/>
    <n v="210.08"/>
    <x v="2"/>
    <x v="409"/>
    <n v="75.569999999999993"/>
  </r>
  <r>
    <x v="414"/>
    <x v="117"/>
    <s v="CUST0009"/>
    <s v="Small Business"/>
    <x v="4"/>
    <s v="Technology"/>
    <x v="2"/>
    <n v="1"/>
    <n v="205.05"/>
    <x v="3"/>
    <x v="410"/>
    <n v="28.78"/>
  </r>
  <r>
    <x v="415"/>
    <x v="117"/>
    <s v="CUST0219"/>
    <s v="Consumer"/>
    <x v="1"/>
    <s v="Furniture"/>
    <x v="2"/>
    <n v="1"/>
    <n v="179.39"/>
    <x v="3"/>
    <x v="411"/>
    <n v="46.17"/>
  </r>
  <r>
    <x v="416"/>
    <x v="117"/>
    <s v="CUST0191"/>
    <s v="Small Business"/>
    <x v="0"/>
    <s v="Office Supplies"/>
    <x v="2"/>
    <n v="1"/>
    <n v="13.96"/>
    <x v="2"/>
    <x v="412"/>
    <n v="2.5299999999999998"/>
  </r>
  <r>
    <x v="417"/>
    <x v="118"/>
    <s v="CUST0082"/>
    <s v="Consumer"/>
    <x v="0"/>
    <s v="Office Supplies"/>
    <x v="2"/>
    <n v="2"/>
    <n v="14.82"/>
    <x v="2"/>
    <x v="413"/>
    <n v="6.79"/>
  </r>
  <r>
    <x v="418"/>
    <x v="118"/>
    <s v="CUST0109"/>
    <s v="Consumer"/>
    <x v="3"/>
    <s v="Furniture"/>
    <x v="1"/>
    <n v="1"/>
    <n v="42.87"/>
    <x v="0"/>
    <x v="414"/>
    <n v="4.59"/>
  </r>
  <r>
    <x v="419"/>
    <x v="118"/>
    <s v="CUST0037"/>
    <s v="Corporate"/>
    <x v="5"/>
    <s v="Lifestyle"/>
    <x v="2"/>
    <n v="4"/>
    <n v="54.31"/>
    <x v="2"/>
    <x v="415"/>
    <n v="47.2"/>
  </r>
  <r>
    <x v="420"/>
    <x v="119"/>
    <s v="CUST0068"/>
    <s v="Consumer"/>
    <x v="2"/>
    <s v="Technology"/>
    <x v="3"/>
    <n v="3"/>
    <n v="68.83"/>
    <x v="2"/>
    <x v="416"/>
    <n v="26.2"/>
  </r>
  <r>
    <x v="421"/>
    <x v="119"/>
    <s v="CUST0138"/>
    <s v="Consumer"/>
    <x v="11"/>
    <s v="Lifestyle"/>
    <x v="0"/>
    <n v="2"/>
    <n v="20.59"/>
    <x v="2"/>
    <x v="417"/>
    <n v="9.42"/>
  </r>
  <r>
    <x v="422"/>
    <x v="120"/>
    <s v="CUST0228"/>
    <s v="Consumer"/>
    <x v="9"/>
    <s v="Office Supplies"/>
    <x v="2"/>
    <n v="1"/>
    <n v="16.239999999999998"/>
    <x v="2"/>
    <x v="418"/>
    <n v="1.29"/>
  </r>
  <r>
    <x v="423"/>
    <x v="120"/>
    <s v="CUST0187"/>
    <s v="Consumer"/>
    <x v="4"/>
    <s v="Technology"/>
    <x v="1"/>
    <n v="3"/>
    <n v="213.41"/>
    <x v="0"/>
    <x v="419"/>
    <n v="60.15"/>
  </r>
  <r>
    <x v="424"/>
    <x v="120"/>
    <s v="CUST0264"/>
    <s v="Consumer"/>
    <x v="2"/>
    <s v="Technology"/>
    <x v="0"/>
    <n v="3"/>
    <n v="75.2"/>
    <x v="2"/>
    <x v="420"/>
    <n v="24.81"/>
  </r>
  <r>
    <x v="425"/>
    <x v="121"/>
    <s v="CUST0027"/>
    <s v="Corporate"/>
    <x v="1"/>
    <s v="Furniture"/>
    <x v="2"/>
    <n v="1"/>
    <n v="179.91"/>
    <x v="2"/>
    <x v="421"/>
    <n v="36.869999999999997"/>
  </r>
  <r>
    <x v="426"/>
    <x v="121"/>
    <s v="CUST0056"/>
    <s v="Consumer"/>
    <x v="2"/>
    <s v="Technology"/>
    <x v="0"/>
    <n v="1"/>
    <n v="72.150000000000006"/>
    <x v="3"/>
    <x v="422"/>
    <n v="13.3"/>
  </r>
  <r>
    <x v="427"/>
    <x v="121"/>
    <s v="CUST0225"/>
    <s v="Consumer"/>
    <x v="11"/>
    <s v="Lifestyle"/>
    <x v="1"/>
    <n v="3"/>
    <n v="22.19"/>
    <x v="3"/>
    <x v="423"/>
    <n v="8.7899999999999991"/>
  </r>
  <r>
    <x v="428"/>
    <x v="121"/>
    <s v="CUST0181"/>
    <s v="Small Business"/>
    <x v="4"/>
    <s v="Technology"/>
    <x v="2"/>
    <n v="2"/>
    <n v="225.25"/>
    <x v="3"/>
    <x v="424"/>
    <n v="115.87"/>
  </r>
  <r>
    <x v="429"/>
    <x v="122"/>
    <s v="CUST0213"/>
    <s v="Consumer"/>
    <x v="5"/>
    <s v="Lifestyle"/>
    <x v="3"/>
    <n v="1"/>
    <n v="58.26"/>
    <x v="2"/>
    <x v="425"/>
    <n v="7.46"/>
  </r>
  <r>
    <x v="430"/>
    <x v="122"/>
    <s v="CUST0268"/>
    <s v="Consumer"/>
    <x v="0"/>
    <s v="Office Supplies"/>
    <x v="3"/>
    <n v="1"/>
    <n v="13.43"/>
    <x v="1"/>
    <x v="426"/>
    <n v="0.6"/>
  </r>
  <r>
    <x v="431"/>
    <x v="123"/>
    <s v="CUST0084"/>
    <s v="Consumer"/>
    <x v="4"/>
    <s v="Technology"/>
    <x v="1"/>
    <n v="5"/>
    <n v="207.16"/>
    <x v="3"/>
    <x v="427"/>
    <n v="278.33999999999997"/>
  </r>
  <r>
    <x v="432"/>
    <x v="123"/>
    <s v="CUST0133"/>
    <s v="Consumer"/>
    <x v="8"/>
    <s v="Furniture"/>
    <x v="1"/>
    <n v="1"/>
    <n v="347.48"/>
    <x v="2"/>
    <x v="428"/>
    <n v="39.47"/>
  </r>
  <r>
    <x v="433"/>
    <x v="123"/>
    <s v="CUST0264"/>
    <s v="Consumer"/>
    <x v="5"/>
    <s v="Lifestyle"/>
    <x v="3"/>
    <n v="4"/>
    <n v="58.09"/>
    <x v="3"/>
    <x v="429"/>
    <n v="56.94"/>
  </r>
  <r>
    <x v="434"/>
    <x v="123"/>
    <s v="CUST0286"/>
    <s v="Corporate"/>
    <x v="7"/>
    <s v="Technology"/>
    <x v="0"/>
    <n v="1"/>
    <n v="30.71"/>
    <x v="0"/>
    <x v="430"/>
    <n v="3.48"/>
  </r>
  <r>
    <x v="435"/>
    <x v="123"/>
    <s v="CUST0069"/>
    <s v="Corporate"/>
    <x v="4"/>
    <s v="Technology"/>
    <x v="0"/>
    <n v="3"/>
    <n v="208.81"/>
    <x v="2"/>
    <x v="431"/>
    <n v="90.6"/>
  </r>
  <r>
    <x v="436"/>
    <x v="123"/>
    <s v="CUST0280"/>
    <s v="Small Business"/>
    <x v="1"/>
    <s v="Furniture"/>
    <x v="0"/>
    <n v="1"/>
    <n v="189.42"/>
    <x v="0"/>
    <x v="432"/>
    <n v="17.32"/>
  </r>
  <r>
    <x v="437"/>
    <x v="123"/>
    <s v="CUST0223"/>
    <s v="Consumer"/>
    <x v="8"/>
    <s v="Furniture"/>
    <x v="0"/>
    <n v="5"/>
    <n v="358.68"/>
    <x v="0"/>
    <x v="433"/>
    <n v="183.92"/>
  </r>
  <r>
    <x v="438"/>
    <x v="123"/>
    <s v="CUST0025"/>
    <s v="Consumer"/>
    <x v="4"/>
    <s v="Technology"/>
    <x v="0"/>
    <n v="1"/>
    <n v="192.04"/>
    <x v="2"/>
    <x v="434"/>
    <n v="33.07"/>
  </r>
  <r>
    <x v="439"/>
    <x v="124"/>
    <s v="CUST0102"/>
    <s v="Corporate"/>
    <x v="5"/>
    <s v="Lifestyle"/>
    <x v="3"/>
    <n v="3"/>
    <n v="57.79"/>
    <x v="0"/>
    <x v="435"/>
    <n v="36.21"/>
  </r>
  <r>
    <x v="440"/>
    <x v="124"/>
    <s v="CUST0133"/>
    <s v="Corporate"/>
    <x v="9"/>
    <s v="Office Supplies"/>
    <x v="2"/>
    <n v="1"/>
    <n v="16.59"/>
    <x v="2"/>
    <x v="436"/>
    <n v="4.17"/>
  </r>
  <r>
    <x v="441"/>
    <x v="125"/>
    <s v="CUST0168"/>
    <s v="Consumer"/>
    <x v="11"/>
    <s v="Lifestyle"/>
    <x v="1"/>
    <n v="2"/>
    <n v="22.61"/>
    <x v="0"/>
    <x v="437"/>
    <n v="4.18"/>
  </r>
  <r>
    <x v="442"/>
    <x v="125"/>
    <s v="CUST0225"/>
    <s v="Corporate"/>
    <x v="2"/>
    <s v="Technology"/>
    <x v="0"/>
    <n v="2"/>
    <n v="76.39"/>
    <x v="3"/>
    <x v="438"/>
    <n v="35.32"/>
  </r>
  <r>
    <x v="443"/>
    <x v="125"/>
    <s v="CUST0181"/>
    <s v="Small Business"/>
    <x v="0"/>
    <s v="Office Supplies"/>
    <x v="0"/>
    <n v="3"/>
    <n v="15.4"/>
    <x v="3"/>
    <x v="439"/>
    <n v="10.65"/>
  </r>
  <r>
    <x v="444"/>
    <x v="125"/>
    <s v="CUST0023"/>
    <s v="Consumer"/>
    <x v="10"/>
    <s v="Office Supplies"/>
    <x v="2"/>
    <n v="3"/>
    <n v="8.7799999999999994"/>
    <x v="2"/>
    <x v="440"/>
    <n v="4.07"/>
  </r>
  <r>
    <x v="445"/>
    <x v="125"/>
    <s v="CUST0217"/>
    <s v="Small Business"/>
    <x v="4"/>
    <s v="Technology"/>
    <x v="0"/>
    <n v="3"/>
    <n v="196.91"/>
    <x v="3"/>
    <x v="441"/>
    <n v="83.14"/>
  </r>
  <r>
    <x v="446"/>
    <x v="126"/>
    <s v="CUST0067"/>
    <s v="Consumer"/>
    <x v="11"/>
    <s v="Lifestyle"/>
    <x v="0"/>
    <n v="2"/>
    <n v="20.03"/>
    <x v="3"/>
    <x v="442"/>
    <n v="10.81"/>
  </r>
  <r>
    <x v="447"/>
    <x v="126"/>
    <s v="CUST0103"/>
    <s v="Corporate"/>
    <x v="3"/>
    <s v="Furniture"/>
    <x v="0"/>
    <n v="3"/>
    <n v="45.68"/>
    <x v="2"/>
    <x v="443"/>
    <n v="18.309999999999999"/>
  </r>
  <r>
    <x v="448"/>
    <x v="126"/>
    <s v="CUST0259"/>
    <s v="Corporate"/>
    <x v="2"/>
    <s v="Technology"/>
    <x v="0"/>
    <n v="1"/>
    <n v="73.36"/>
    <x v="2"/>
    <x v="444"/>
    <n v="18.170000000000002"/>
  </r>
  <r>
    <x v="449"/>
    <x v="126"/>
    <s v="CUST0276"/>
    <s v="Consumer"/>
    <x v="2"/>
    <s v="Technology"/>
    <x v="2"/>
    <n v="1"/>
    <n v="70.099999999999994"/>
    <x v="2"/>
    <x v="445"/>
    <n v="13.91"/>
  </r>
  <r>
    <x v="450"/>
    <x v="127"/>
    <s v="CUST0229"/>
    <s v="Small Business"/>
    <x v="11"/>
    <s v="Lifestyle"/>
    <x v="0"/>
    <n v="4"/>
    <n v="19.97"/>
    <x v="2"/>
    <x v="446"/>
    <n v="15.17"/>
  </r>
  <r>
    <x v="451"/>
    <x v="127"/>
    <s v="CUST0065"/>
    <s v="Corporate"/>
    <x v="8"/>
    <s v="Furniture"/>
    <x v="1"/>
    <n v="4"/>
    <n v="308.26"/>
    <x v="1"/>
    <x v="447"/>
    <n v="73.95"/>
  </r>
  <r>
    <x v="452"/>
    <x v="128"/>
    <s v="CUST0019"/>
    <s v="Small Business"/>
    <x v="1"/>
    <s v="Furniture"/>
    <x v="0"/>
    <n v="4"/>
    <n v="175.28"/>
    <x v="3"/>
    <x v="448"/>
    <n v="115.54"/>
  </r>
  <r>
    <x v="453"/>
    <x v="128"/>
    <s v="CUST0195"/>
    <s v="Small Business"/>
    <x v="11"/>
    <s v="Lifestyle"/>
    <x v="3"/>
    <n v="3"/>
    <n v="20.239999999999998"/>
    <x v="0"/>
    <x v="449"/>
    <n v="10.050000000000001"/>
  </r>
  <r>
    <x v="454"/>
    <x v="128"/>
    <s v="CUST0267"/>
    <s v="Consumer"/>
    <x v="5"/>
    <s v="Lifestyle"/>
    <x v="0"/>
    <n v="3"/>
    <n v="51.72"/>
    <x v="2"/>
    <x v="450"/>
    <n v="13.51"/>
  </r>
  <r>
    <x v="455"/>
    <x v="129"/>
    <s v="CUST0061"/>
    <s v="Corporate"/>
    <x v="5"/>
    <s v="Lifestyle"/>
    <x v="2"/>
    <n v="4"/>
    <n v="54.02"/>
    <x v="0"/>
    <x v="451"/>
    <n v="20.399999999999999"/>
  </r>
  <r>
    <x v="456"/>
    <x v="129"/>
    <s v="CUST0214"/>
    <s v="Small Business"/>
    <x v="2"/>
    <s v="Technology"/>
    <x v="3"/>
    <n v="1"/>
    <n v="69.97"/>
    <x v="3"/>
    <x v="452"/>
    <n v="10.220000000000001"/>
  </r>
  <r>
    <x v="457"/>
    <x v="129"/>
    <s v="CUST0043"/>
    <s v="Small Business"/>
    <x v="8"/>
    <s v="Furniture"/>
    <x v="1"/>
    <n v="1"/>
    <n v="318.16000000000003"/>
    <x v="1"/>
    <x v="453"/>
    <n v="23.74"/>
  </r>
  <r>
    <x v="458"/>
    <x v="129"/>
    <s v="CUST0166"/>
    <s v="Consumer"/>
    <x v="3"/>
    <s v="Furniture"/>
    <x v="0"/>
    <n v="1"/>
    <n v="39.229999999999997"/>
    <x v="4"/>
    <x v="454"/>
    <n v="6.48"/>
  </r>
  <r>
    <x v="459"/>
    <x v="129"/>
    <s v="CUST0281"/>
    <s v="Consumer"/>
    <x v="3"/>
    <s v="Furniture"/>
    <x v="1"/>
    <n v="1"/>
    <n v="42.33"/>
    <x v="3"/>
    <x v="455"/>
    <n v="9.9600000000000009"/>
  </r>
  <r>
    <x v="460"/>
    <x v="130"/>
    <s v="CUST0168"/>
    <s v="Corporate"/>
    <x v="4"/>
    <s v="Technology"/>
    <x v="0"/>
    <n v="1"/>
    <n v="212.04"/>
    <x v="2"/>
    <x v="456"/>
    <n v="36.409999999999997"/>
  </r>
  <r>
    <x v="461"/>
    <x v="130"/>
    <s v="CUST0138"/>
    <s v="Corporate"/>
    <x v="4"/>
    <s v="Technology"/>
    <x v="2"/>
    <n v="1"/>
    <n v="193.13"/>
    <x v="3"/>
    <x v="457"/>
    <n v="40.96"/>
  </r>
  <r>
    <x v="462"/>
    <x v="130"/>
    <s v="CUST0028"/>
    <s v="Small Business"/>
    <x v="0"/>
    <s v="Office Supplies"/>
    <x v="3"/>
    <n v="3"/>
    <n v="13.34"/>
    <x v="1"/>
    <x v="458"/>
    <n v="5.6"/>
  </r>
  <r>
    <x v="463"/>
    <x v="131"/>
    <s v="CUST0262"/>
    <s v="Small Business"/>
    <x v="3"/>
    <s v="Furniture"/>
    <x v="2"/>
    <n v="4"/>
    <n v="40.619999999999997"/>
    <x v="2"/>
    <x v="459"/>
    <n v="15.5"/>
  </r>
  <r>
    <x v="464"/>
    <x v="132"/>
    <s v="CUST0005"/>
    <s v="Consumer"/>
    <x v="4"/>
    <s v="Technology"/>
    <x v="0"/>
    <n v="2"/>
    <n v="215.02"/>
    <x v="3"/>
    <x v="460"/>
    <n v="90.33"/>
  </r>
  <r>
    <x v="465"/>
    <x v="132"/>
    <s v="CUST0032"/>
    <s v="Consumer"/>
    <x v="7"/>
    <s v="Technology"/>
    <x v="1"/>
    <n v="1"/>
    <n v="26.24"/>
    <x v="3"/>
    <x v="461"/>
    <n v="4.79"/>
  </r>
  <r>
    <x v="466"/>
    <x v="132"/>
    <s v="CUST0051"/>
    <s v="Corporate"/>
    <x v="5"/>
    <s v="Lifestyle"/>
    <x v="3"/>
    <n v="1"/>
    <n v="56.69"/>
    <x v="3"/>
    <x v="462"/>
    <n v="13.31"/>
  </r>
  <r>
    <x v="467"/>
    <x v="132"/>
    <s v="CUST0092"/>
    <s v="Consumer"/>
    <x v="1"/>
    <s v="Furniture"/>
    <x v="3"/>
    <n v="2"/>
    <n v="164.88"/>
    <x v="3"/>
    <x v="463"/>
    <n v="77.61"/>
  </r>
  <r>
    <x v="468"/>
    <x v="133"/>
    <s v="CUST0125"/>
    <s v="Consumer"/>
    <x v="11"/>
    <s v="Lifestyle"/>
    <x v="3"/>
    <n v="3"/>
    <n v="20.079999999999998"/>
    <x v="2"/>
    <x v="464"/>
    <n v="13.82"/>
  </r>
  <r>
    <x v="469"/>
    <x v="133"/>
    <s v="CUST0084"/>
    <s v="Consumer"/>
    <x v="11"/>
    <s v="Lifestyle"/>
    <x v="0"/>
    <n v="4"/>
    <n v="24.1"/>
    <x v="1"/>
    <x v="465"/>
    <n v="19.25"/>
  </r>
  <r>
    <x v="470"/>
    <x v="133"/>
    <s v="CUST0056"/>
    <s v="Consumer"/>
    <x v="0"/>
    <s v="Office Supplies"/>
    <x v="0"/>
    <n v="1"/>
    <n v="14.38"/>
    <x v="1"/>
    <x v="466"/>
    <n v="2.2400000000000002"/>
  </r>
  <r>
    <x v="471"/>
    <x v="134"/>
    <s v="CUST0217"/>
    <s v="Small Business"/>
    <x v="8"/>
    <s v="Furniture"/>
    <x v="2"/>
    <n v="1"/>
    <n v="298.11"/>
    <x v="3"/>
    <x v="467"/>
    <n v="64.34"/>
  </r>
  <r>
    <x v="472"/>
    <x v="134"/>
    <s v="CUST0066"/>
    <s v="Corporate"/>
    <x v="0"/>
    <s v="Office Supplies"/>
    <x v="3"/>
    <n v="1"/>
    <n v="15.25"/>
    <x v="3"/>
    <x v="468"/>
    <n v="2.93"/>
  </r>
  <r>
    <x v="473"/>
    <x v="134"/>
    <s v="CUST0264"/>
    <s v="Consumer"/>
    <x v="6"/>
    <s v="Technology"/>
    <x v="2"/>
    <n v="1"/>
    <n v="858.82"/>
    <x v="1"/>
    <x v="469"/>
    <n v="144.09"/>
  </r>
  <r>
    <x v="474"/>
    <x v="134"/>
    <s v="CUST0250"/>
    <s v="Small Business"/>
    <x v="11"/>
    <s v="Lifestyle"/>
    <x v="2"/>
    <n v="1"/>
    <n v="23.87"/>
    <x v="0"/>
    <x v="470"/>
    <n v="1.99"/>
  </r>
  <r>
    <x v="475"/>
    <x v="135"/>
    <s v="CUST0166"/>
    <s v="Consumer"/>
    <x v="9"/>
    <s v="Office Supplies"/>
    <x v="2"/>
    <n v="2"/>
    <n v="17.989999999999998"/>
    <x v="3"/>
    <x v="471"/>
    <n v="6.87"/>
  </r>
  <r>
    <x v="476"/>
    <x v="135"/>
    <s v="CUST0069"/>
    <s v="Consumer"/>
    <x v="4"/>
    <s v="Technology"/>
    <x v="1"/>
    <n v="2"/>
    <n v="221.01"/>
    <x v="3"/>
    <x v="472"/>
    <n v="118.12"/>
  </r>
  <r>
    <x v="477"/>
    <x v="135"/>
    <s v="CUST0017"/>
    <s v="Consumer"/>
    <x v="1"/>
    <s v="Furniture"/>
    <x v="1"/>
    <n v="3"/>
    <n v="179.36"/>
    <x v="1"/>
    <x v="473"/>
    <n v="96.45"/>
  </r>
  <r>
    <x v="478"/>
    <x v="135"/>
    <s v="CUST0231"/>
    <s v="Consumer"/>
    <x v="3"/>
    <s v="Furniture"/>
    <x v="0"/>
    <n v="5"/>
    <n v="42.34"/>
    <x v="1"/>
    <x v="474"/>
    <n v="38.54"/>
  </r>
  <r>
    <x v="479"/>
    <x v="135"/>
    <s v="CUST0230"/>
    <s v="Corporate"/>
    <x v="10"/>
    <s v="Office Supplies"/>
    <x v="2"/>
    <n v="1"/>
    <n v="8.7100000000000009"/>
    <x v="0"/>
    <x v="475"/>
    <n v="1.8"/>
  </r>
  <r>
    <x v="480"/>
    <x v="135"/>
    <s v="CUST0146"/>
    <s v="Small Business"/>
    <x v="10"/>
    <s v="Office Supplies"/>
    <x v="3"/>
    <n v="5"/>
    <n v="8.1999999999999993"/>
    <x v="4"/>
    <x v="476"/>
    <n v="5.94"/>
  </r>
  <r>
    <x v="481"/>
    <x v="136"/>
    <s v="CUST0162"/>
    <s v="Corporate"/>
    <x v="1"/>
    <s v="Furniture"/>
    <x v="0"/>
    <n v="2"/>
    <n v="172.4"/>
    <x v="1"/>
    <x v="477"/>
    <n v="15.73"/>
  </r>
  <r>
    <x v="482"/>
    <x v="136"/>
    <s v="CUST0037"/>
    <s v="Consumer"/>
    <x v="5"/>
    <s v="Lifestyle"/>
    <x v="3"/>
    <n v="1"/>
    <n v="52.18"/>
    <x v="0"/>
    <x v="478"/>
    <n v="7.04"/>
  </r>
  <r>
    <x v="483"/>
    <x v="136"/>
    <s v="CUST0021"/>
    <s v="Consumer"/>
    <x v="1"/>
    <s v="Furniture"/>
    <x v="0"/>
    <n v="2"/>
    <n v="177.9"/>
    <x v="0"/>
    <x v="479"/>
    <n v="48.16"/>
  </r>
  <r>
    <x v="484"/>
    <x v="136"/>
    <s v="CUST0056"/>
    <s v="Small Business"/>
    <x v="8"/>
    <s v="Furniture"/>
    <x v="2"/>
    <n v="4"/>
    <n v="311.82"/>
    <x v="3"/>
    <x v="480"/>
    <n v="215.91"/>
  </r>
  <r>
    <x v="485"/>
    <x v="137"/>
    <s v="CUST0042"/>
    <s v="Consumer"/>
    <x v="8"/>
    <s v="Furniture"/>
    <x v="1"/>
    <n v="1"/>
    <n v="350.84"/>
    <x v="3"/>
    <x v="481"/>
    <n v="59.67"/>
  </r>
  <r>
    <x v="486"/>
    <x v="138"/>
    <s v="CUST0021"/>
    <s v="Consumer"/>
    <x v="5"/>
    <s v="Lifestyle"/>
    <x v="2"/>
    <n v="1"/>
    <n v="59.03"/>
    <x v="3"/>
    <x v="482"/>
    <n v="7.27"/>
  </r>
  <r>
    <x v="487"/>
    <x v="138"/>
    <s v="CUST0128"/>
    <s v="Consumer"/>
    <x v="5"/>
    <s v="Lifestyle"/>
    <x v="1"/>
    <n v="2"/>
    <n v="56.6"/>
    <x v="3"/>
    <x v="483"/>
    <n v="13"/>
  </r>
  <r>
    <x v="488"/>
    <x v="139"/>
    <s v="CUST0238"/>
    <s v="Corporate"/>
    <x v="10"/>
    <s v="Office Supplies"/>
    <x v="0"/>
    <n v="1"/>
    <n v="8.61"/>
    <x v="0"/>
    <x v="484"/>
    <n v="1.67"/>
  </r>
  <r>
    <x v="489"/>
    <x v="139"/>
    <s v="CUST0001"/>
    <s v="Consumer"/>
    <x v="8"/>
    <s v="Furniture"/>
    <x v="3"/>
    <n v="2"/>
    <n v="324.55"/>
    <x v="0"/>
    <x v="485"/>
    <n v="118.77"/>
  </r>
  <r>
    <x v="490"/>
    <x v="139"/>
    <s v="CUST0046"/>
    <s v="Consumer"/>
    <x v="0"/>
    <s v="Office Supplies"/>
    <x v="3"/>
    <n v="1"/>
    <n v="15.13"/>
    <x v="0"/>
    <x v="486"/>
    <n v="3.14"/>
  </r>
  <r>
    <x v="491"/>
    <x v="139"/>
    <s v="CUST0100"/>
    <s v="Consumer"/>
    <x v="9"/>
    <s v="Office Supplies"/>
    <x v="0"/>
    <n v="1"/>
    <n v="16.77"/>
    <x v="2"/>
    <x v="487"/>
    <n v="3.98"/>
  </r>
  <r>
    <x v="492"/>
    <x v="139"/>
    <s v="CUST0137"/>
    <s v="Consumer"/>
    <x v="3"/>
    <s v="Furniture"/>
    <x v="1"/>
    <n v="3"/>
    <n v="44.3"/>
    <x v="2"/>
    <x v="488"/>
    <n v="11.68"/>
  </r>
  <r>
    <x v="493"/>
    <x v="139"/>
    <s v="CUST0019"/>
    <s v="Consumer"/>
    <x v="9"/>
    <s v="Office Supplies"/>
    <x v="2"/>
    <n v="1"/>
    <n v="17.93"/>
    <x v="0"/>
    <x v="489"/>
    <n v="1.4"/>
  </r>
  <r>
    <x v="494"/>
    <x v="140"/>
    <s v="CUST0026"/>
    <s v="Consumer"/>
    <x v="5"/>
    <s v="Lifestyle"/>
    <x v="3"/>
    <n v="1"/>
    <n v="52.33"/>
    <x v="4"/>
    <x v="490"/>
    <n v="5.87"/>
  </r>
  <r>
    <x v="495"/>
    <x v="140"/>
    <s v="CUST0285"/>
    <s v="Corporate"/>
    <x v="10"/>
    <s v="Office Supplies"/>
    <x v="2"/>
    <n v="3"/>
    <n v="9.4499999999999993"/>
    <x v="1"/>
    <x v="491"/>
    <n v="3.17"/>
  </r>
  <r>
    <x v="496"/>
    <x v="140"/>
    <s v="CUST0246"/>
    <s v="Consumer"/>
    <x v="4"/>
    <s v="Technology"/>
    <x v="1"/>
    <n v="1"/>
    <n v="225.85"/>
    <x v="2"/>
    <x v="492"/>
    <n v="15.99"/>
  </r>
  <r>
    <x v="497"/>
    <x v="141"/>
    <s v="CUST0126"/>
    <s v="Corporate"/>
    <x v="2"/>
    <s v="Technology"/>
    <x v="1"/>
    <n v="2"/>
    <n v="80.95"/>
    <x v="2"/>
    <x v="493"/>
    <n v="17.16"/>
  </r>
  <r>
    <x v="498"/>
    <x v="142"/>
    <s v="CUST0226"/>
    <s v="Consumer"/>
    <x v="3"/>
    <s v="Furniture"/>
    <x v="2"/>
    <n v="5"/>
    <n v="42.9"/>
    <x v="0"/>
    <x v="494"/>
    <n v="31.68"/>
  </r>
  <r>
    <x v="499"/>
    <x v="142"/>
    <s v="CUST0018"/>
    <s v="Small Business"/>
    <x v="4"/>
    <s v="Technology"/>
    <x v="3"/>
    <n v="4"/>
    <n v="218.5"/>
    <x v="2"/>
    <x v="495"/>
    <n v="147.38999999999999"/>
  </r>
  <r>
    <x v="500"/>
    <x v="143"/>
    <s v="CUST0242"/>
    <s v="Consumer"/>
    <x v="11"/>
    <s v="Lifestyle"/>
    <x v="2"/>
    <n v="3"/>
    <n v="22.74"/>
    <x v="2"/>
    <x v="496"/>
    <n v="5.63"/>
  </r>
  <r>
    <x v="501"/>
    <x v="143"/>
    <s v="CUST0280"/>
    <s v="Consumer"/>
    <x v="9"/>
    <s v="Office Supplies"/>
    <x v="1"/>
    <n v="1"/>
    <n v="18.89"/>
    <x v="1"/>
    <x v="497"/>
    <n v="3.5"/>
  </r>
  <r>
    <x v="502"/>
    <x v="143"/>
    <s v="CUST0273"/>
    <s v="Consumer"/>
    <x v="1"/>
    <s v="Furniture"/>
    <x v="1"/>
    <n v="1"/>
    <n v="168.01"/>
    <x v="3"/>
    <x v="498"/>
    <n v="19.53"/>
  </r>
  <r>
    <x v="503"/>
    <x v="143"/>
    <s v="CUST0290"/>
    <s v="Consumer"/>
    <x v="11"/>
    <s v="Lifestyle"/>
    <x v="1"/>
    <n v="4"/>
    <n v="21.69"/>
    <x v="3"/>
    <x v="499"/>
    <n v="19.02"/>
  </r>
  <r>
    <x v="504"/>
    <x v="143"/>
    <s v="CUST0260"/>
    <s v="Consumer"/>
    <x v="6"/>
    <s v="Technology"/>
    <x v="1"/>
    <n v="5"/>
    <n v="914.06"/>
    <x v="3"/>
    <x v="500"/>
    <n v="1265.28"/>
  </r>
  <r>
    <x v="505"/>
    <x v="143"/>
    <s v="CUST0149"/>
    <s v="Consumer"/>
    <x v="3"/>
    <s v="Furniture"/>
    <x v="0"/>
    <n v="1"/>
    <n v="41.51"/>
    <x v="2"/>
    <x v="501"/>
    <n v="5.37"/>
  </r>
  <r>
    <x v="506"/>
    <x v="143"/>
    <s v="CUST0085"/>
    <s v="Consumer"/>
    <x v="8"/>
    <s v="Furniture"/>
    <x v="1"/>
    <n v="1"/>
    <n v="322.75"/>
    <x v="0"/>
    <x v="502"/>
    <n v="26.99"/>
  </r>
  <r>
    <x v="507"/>
    <x v="143"/>
    <s v="CUST0093"/>
    <s v="Consumer"/>
    <x v="4"/>
    <s v="Technology"/>
    <x v="0"/>
    <n v="2"/>
    <n v="216.83"/>
    <x v="0"/>
    <x v="503"/>
    <n v="83.23"/>
  </r>
  <r>
    <x v="508"/>
    <x v="144"/>
    <s v="CUST0246"/>
    <s v="Small Business"/>
    <x v="6"/>
    <s v="Technology"/>
    <x v="2"/>
    <n v="2"/>
    <n v="915.06"/>
    <x v="3"/>
    <x v="504"/>
    <n v="301.77999999999997"/>
  </r>
  <r>
    <x v="509"/>
    <x v="144"/>
    <s v="CUST0221"/>
    <s v="Small Business"/>
    <x v="5"/>
    <s v="Lifestyle"/>
    <x v="0"/>
    <n v="2"/>
    <n v="50.88"/>
    <x v="0"/>
    <x v="505"/>
    <n v="19.78"/>
  </r>
  <r>
    <x v="510"/>
    <x v="144"/>
    <s v="CUST0171"/>
    <s v="Consumer"/>
    <x v="8"/>
    <s v="Furniture"/>
    <x v="1"/>
    <n v="1"/>
    <n v="297.64999999999998"/>
    <x v="0"/>
    <x v="506"/>
    <n v="38.01"/>
  </r>
  <r>
    <x v="511"/>
    <x v="144"/>
    <s v="CUST0013"/>
    <s v="Corporate"/>
    <x v="9"/>
    <s v="Office Supplies"/>
    <x v="2"/>
    <n v="3"/>
    <n v="17.489999999999998"/>
    <x v="0"/>
    <x v="507"/>
    <n v="5.27"/>
  </r>
  <r>
    <x v="512"/>
    <x v="144"/>
    <s v="CUST0074"/>
    <s v="Consumer"/>
    <x v="6"/>
    <s v="Technology"/>
    <x v="1"/>
    <n v="1"/>
    <n v="1010.55"/>
    <x v="3"/>
    <x v="508"/>
    <n v="106.8"/>
  </r>
  <r>
    <x v="513"/>
    <x v="144"/>
    <s v="CUST0019"/>
    <s v="Small Business"/>
    <x v="0"/>
    <s v="Office Supplies"/>
    <x v="0"/>
    <n v="3"/>
    <n v="13.17"/>
    <x v="1"/>
    <x v="509"/>
    <n v="7.75"/>
  </r>
  <r>
    <x v="514"/>
    <x v="144"/>
    <s v="CUST0278"/>
    <s v="Corporate"/>
    <x v="10"/>
    <s v="Office Supplies"/>
    <x v="3"/>
    <n v="1"/>
    <n v="8.83"/>
    <x v="3"/>
    <x v="510"/>
    <n v="2.36"/>
  </r>
  <r>
    <x v="515"/>
    <x v="145"/>
    <s v="CUST0281"/>
    <s v="Consumer"/>
    <x v="0"/>
    <s v="Office Supplies"/>
    <x v="2"/>
    <n v="1"/>
    <n v="14.03"/>
    <x v="2"/>
    <x v="511"/>
    <n v="2.87"/>
  </r>
  <r>
    <x v="516"/>
    <x v="145"/>
    <s v="CUST0140"/>
    <s v="Consumer"/>
    <x v="7"/>
    <s v="Technology"/>
    <x v="0"/>
    <n v="1"/>
    <n v="30.73"/>
    <x v="3"/>
    <x v="512"/>
    <n v="5.09"/>
  </r>
  <r>
    <x v="517"/>
    <x v="145"/>
    <s v="CUST0131"/>
    <s v="Small Business"/>
    <x v="5"/>
    <s v="Lifestyle"/>
    <x v="1"/>
    <n v="1"/>
    <n v="50.2"/>
    <x v="4"/>
    <x v="513"/>
    <n v="6.78"/>
  </r>
  <r>
    <x v="518"/>
    <x v="145"/>
    <s v="CUST0242"/>
    <s v="Corporate"/>
    <x v="4"/>
    <s v="Technology"/>
    <x v="0"/>
    <n v="3"/>
    <n v="221.67"/>
    <x v="2"/>
    <x v="514"/>
    <n v="149.36000000000001"/>
  </r>
  <r>
    <x v="519"/>
    <x v="145"/>
    <s v="CUST0281"/>
    <s v="Consumer"/>
    <x v="10"/>
    <s v="Office Supplies"/>
    <x v="0"/>
    <n v="5"/>
    <n v="9.4"/>
    <x v="1"/>
    <x v="515"/>
    <n v="2.82"/>
  </r>
  <r>
    <x v="520"/>
    <x v="145"/>
    <s v="CUST0117"/>
    <s v="Consumer"/>
    <x v="7"/>
    <s v="Technology"/>
    <x v="1"/>
    <n v="1"/>
    <n v="26.03"/>
    <x v="0"/>
    <x v="516"/>
    <n v="4.5199999999999996"/>
  </r>
  <r>
    <x v="521"/>
    <x v="146"/>
    <s v="CUST0030"/>
    <s v="Consumer"/>
    <x v="5"/>
    <s v="Lifestyle"/>
    <x v="3"/>
    <n v="2"/>
    <n v="53.92"/>
    <x v="1"/>
    <x v="517"/>
    <n v="16.61"/>
  </r>
  <r>
    <x v="522"/>
    <x v="147"/>
    <s v="CUST0228"/>
    <s v="Corporate"/>
    <x v="6"/>
    <s v="Technology"/>
    <x v="3"/>
    <n v="1"/>
    <n v="949.47"/>
    <x v="3"/>
    <x v="518"/>
    <n v="155.69999999999999"/>
  </r>
  <r>
    <x v="523"/>
    <x v="148"/>
    <s v="CUST0022"/>
    <s v="Consumer"/>
    <x v="4"/>
    <s v="Technology"/>
    <x v="3"/>
    <n v="3"/>
    <n v="224.67"/>
    <x v="0"/>
    <x v="519"/>
    <n v="114.04"/>
  </r>
  <r>
    <x v="524"/>
    <x v="148"/>
    <s v="CUST0227"/>
    <s v="Consumer"/>
    <x v="3"/>
    <s v="Furniture"/>
    <x v="1"/>
    <n v="5"/>
    <n v="39"/>
    <x v="3"/>
    <x v="520"/>
    <n v="16.149999999999999"/>
  </r>
  <r>
    <x v="525"/>
    <x v="148"/>
    <s v="CUST0275"/>
    <s v="Consumer"/>
    <x v="0"/>
    <s v="Office Supplies"/>
    <x v="2"/>
    <n v="3"/>
    <n v="13.36"/>
    <x v="1"/>
    <x v="521"/>
    <n v="4.05"/>
  </r>
  <r>
    <x v="526"/>
    <x v="149"/>
    <s v="CUST0152"/>
    <s v="Consumer"/>
    <x v="10"/>
    <s v="Office Supplies"/>
    <x v="3"/>
    <n v="1"/>
    <n v="8.58"/>
    <x v="3"/>
    <x v="522"/>
    <n v="1.26"/>
  </r>
  <r>
    <x v="527"/>
    <x v="149"/>
    <s v="CUST0014"/>
    <s v="Consumer"/>
    <x v="10"/>
    <s v="Office Supplies"/>
    <x v="0"/>
    <n v="1"/>
    <n v="8.61"/>
    <x v="3"/>
    <x v="523"/>
    <n v="2.0499999999999998"/>
  </r>
  <r>
    <x v="528"/>
    <x v="149"/>
    <s v="CUST0102"/>
    <s v="Corporate"/>
    <x v="10"/>
    <s v="Office Supplies"/>
    <x v="0"/>
    <n v="2"/>
    <n v="9.81"/>
    <x v="2"/>
    <x v="524"/>
    <n v="3.69"/>
  </r>
  <r>
    <x v="529"/>
    <x v="149"/>
    <s v="CUST0208"/>
    <s v="Corporate"/>
    <x v="9"/>
    <s v="Office Supplies"/>
    <x v="2"/>
    <n v="4"/>
    <n v="16.91"/>
    <x v="3"/>
    <x v="525"/>
    <n v="6.02"/>
  </r>
  <r>
    <x v="530"/>
    <x v="150"/>
    <s v="CUST0228"/>
    <s v="Consumer"/>
    <x v="3"/>
    <s v="Furniture"/>
    <x v="2"/>
    <n v="1"/>
    <n v="41.58"/>
    <x v="0"/>
    <x v="526"/>
    <n v="8.2100000000000009"/>
  </r>
  <r>
    <x v="531"/>
    <x v="150"/>
    <s v="CUST0172"/>
    <s v="Corporate"/>
    <x v="3"/>
    <s v="Furniture"/>
    <x v="1"/>
    <n v="3"/>
    <n v="45.63"/>
    <x v="2"/>
    <x v="527"/>
    <n v="25.6"/>
  </r>
  <r>
    <x v="532"/>
    <x v="150"/>
    <s v="CUST0241"/>
    <s v="Consumer"/>
    <x v="2"/>
    <s v="Technology"/>
    <x v="1"/>
    <n v="2"/>
    <n v="67.86"/>
    <x v="3"/>
    <x v="528"/>
    <n v="27.83"/>
  </r>
  <r>
    <x v="533"/>
    <x v="150"/>
    <s v="CUST0273"/>
    <s v="Corporate"/>
    <x v="10"/>
    <s v="Office Supplies"/>
    <x v="0"/>
    <n v="5"/>
    <n v="8.8800000000000008"/>
    <x v="0"/>
    <x v="529"/>
    <n v="5.8"/>
  </r>
  <r>
    <x v="534"/>
    <x v="150"/>
    <s v="CUST0230"/>
    <s v="Consumer"/>
    <x v="10"/>
    <s v="Office Supplies"/>
    <x v="1"/>
    <n v="4"/>
    <n v="9.4"/>
    <x v="3"/>
    <x v="530"/>
    <n v="9.61"/>
  </r>
  <r>
    <x v="535"/>
    <x v="151"/>
    <s v="CUST0104"/>
    <s v="Consumer"/>
    <x v="4"/>
    <s v="Technology"/>
    <x v="1"/>
    <n v="1"/>
    <n v="222.88"/>
    <x v="2"/>
    <x v="531"/>
    <n v="16.5"/>
  </r>
  <r>
    <x v="536"/>
    <x v="151"/>
    <s v="CUST0280"/>
    <s v="Corporate"/>
    <x v="0"/>
    <s v="Office Supplies"/>
    <x v="0"/>
    <n v="3"/>
    <n v="14.86"/>
    <x v="2"/>
    <x v="532"/>
    <n v="8.0299999999999994"/>
  </r>
  <r>
    <x v="537"/>
    <x v="151"/>
    <s v="CUST0005"/>
    <s v="Small Business"/>
    <x v="8"/>
    <s v="Furniture"/>
    <x v="3"/>
    <n v="4"/>
    <n v="332.2"/>
    <x v="0"/>
    <x v="533"/>
    <n v="283.48"/>
  </r>
  <r>
    <x v="538"/>
    <x v="152"/>
    <s v="CUST0159"/>
    <s v="Consumer"/>
    <x v="8"/>
    <s v="Furniture"/>
    <x v="1"/>
    <n v="1"/>
    <n v="307.31"/>
    <x v="4"/>
    <x v="534"/>
    <n v="53.69"/>
  </r>
  <r>
    <x v="539"/>
    <x v="152"/>
    <s v="CUST0225"/>
    <s v="Consumer"/>
    <x v="9"/>
    <s v="Office Supplies"/>
    <x v="1"/>
    <n v="5"/>
    <n v="16.93"/>
    <x v="3"/>
    <x v="535"/>
    <n v="14.26"/>
  </r>
  <r>
    <x v="540"/>
    <x v="152"/>
    <s v="CUST0144"/>
    <s v="Consumer"/>
    <x v="1"/>
    <s v="Furniture"/>
    <x v="0"/>
    <n v="1"/>
    <n v="182.02"/>
    <x v="3"/>
    <x v="536"/>
    <n v="29.54"/>
  </r>
  <r>
    <x v="541"/>
    <x v="152"/>
    <s v="CUST0080"/>
    <s v="Consumer"/>
    <x v="9"/>
    <s v="Office Supplies"/>
    <x v="1"/>
    <n v="1"/>
    <n v="17.3"/>
    <x v="3"/>
    <x v="537"/>
    <n v="1.93"/>
  </r>
  <r>
    <x v="542"/>
    <x v="152"/>
    <s v="CUST0030"/>
    <s v="Corporate"/>
    <x v="11"/>
    <s v="Lifestyle"/>
    <x v="2"/>
    <n v="3"/>
    <n v="21.59"/>
    <x v="3"/>
    <x v="538"/>
    <n v="6.81"/>
  </r>
  <r>
    <x v="543"/>
    <x v="152"/>
    <s v="CUST0034"/>
    <s v="Consumer"/>
    <x v="5"/>
    <s v="Lifestyle"/>
    <x v="1"/>
    <n v="1"/>
    <n v="60.27"/>
    <x v="0"/>
    <x v="539"/>
    <n v="10.65"/>
  </r>
  <r>
    <x v="544"/>
    <x v="152"/>
    <s v="CUST0169"/>
    <s v="Consumer"/>
    <x v="11"/>
    <s v="Lifestyle"/>
    <x v="2"/>
    <n v="2"/>
    <n v="22.35"/>
    <x v="2"/>
    <x v="540"/>
    <n v="10.25"/>
  </r>
  <r>
    <x v="545"/>
    <x v="153"/>
    <s v="CUST0273"/>
    <s v="Consumer"/>
    <x v="6"/>
    <s v="Technology"/>
    <x v="2"/>
    <n v="2"/>
    <n v="1035.4100000000001"/>
    <x v="1"/>
    <x v="541"/>
    <n v="116.29"/>
  </r>
  <r>
    <x v="546"/>
    <x v="153"/>
    <s v="CUST0215"/>
    <s v="Consumer"/>
    <x v="1"/>
    <s v="Furniture"/>
    <x v="0"/>
    <n v="1"/>
    <n v="195.07"/>
    <x v="4"/>
    <x v="542"/>
    <n v="7.68"/>
  </r>
  <r>
    <x v="547"/>
    <x v="153"/>
    <s v="CUST0226"/>
    <s v="Corporate"/>
    <x v="11"/>
    <s v="Lifestyle"/>
    <x v="1"/>
    <n v="1"/>
    <n v="24.11"/>
    <x v="3"/>
    <x v="543"/>
    <n v="3.83"/>
  </r>
  <r>
    <x v="548"/>
    <x v="153"/>
    <s v="CUST0108"/>
    <s v="Small Business"/>
    <x v="11"/>
    <s v="Lifestyle"/>
    <x v="3"/>
    <n v="1"/>
    <n v="23.73"/>
    <x v="0"/>
    <x v="544"/>
    <n v="3.07"/>
  </r>
  <r>
    <x v="549"/>
    <x v="153"/>
    <s v="CUST0176"/>
    <s v="Small Business"/>
    <x v="8"/>
    <s v="Furniture"/>
    <x v="0"/>
    <n v="1"/>
    <n v="353.53"/>
    <x v="2"/>
    <x v="545"/>
    <n v="50.45"/>
  </r>
  <r>
    <x v="550"/>
    <x v="154"/>
    <s v="CUST0133"/>
    <s v="Consumer"/>
    <x v="5"/>
    <s v="Lifestyle"/>
    <x v="1"/>
    <n v="3"/>
    <n v="58.44"/>
    <x v="3"/>
    <x v="546"/>
    <n v="34.659999999999997"/>
  </r>
  <r>
    <x v="551"/>
    <x v="155"/>
    <s v="CUST0031"/>
    <s v="Consumer"/>
    <x v="8"/>
    <s v="Furniture"/>
    <x v="3"/>
    <n v="4"/>
    <n v="322.08999999999997"/>
    <x v="3"/>
    <x v="547"/>
    <n v="327.57"/>
  </r>
  <r>
    <x v="552"/>
    <x v="155"/>
    <s v="CUST0239"/>
    <s v="Consumer"/>
    <x v="3"/>
    <s v="Furniture"/>
    <x v="3"/>
    <n v="2"/>
    <n v="38.24"/>
    <x v="1"/>
    <x v="548"/>
    <n v="5.77"/>
  </r>
  <r>
    <x v="553"/>
    <x v="156"/>
    <s v="CUST0107"/>
    <s v="Small Business"/>
    <x v="9"/>
    <s v="Office Supplies"/>
    <x v="1"/>
    <n v="1"/>
    <n v="17.72"/>
    <x v="2"/>
    <x v="549"/>
    <n v="2.57"/>
  </r>
  <r>
    <x v="554"/>
    <x v="156"/>
    <s v="CUST0047"/>
    <s v="Corporate"/>
    <x v="1"/>
    <s v="Furniture"/>
    <x v="2"/>
    <n v="4"/>
    <n v="171.1"/>
    <x v="0"/>
    <x v="550"/>
    <n v="72.319999999999993"/>
  </r>
  <r>
    <x v="555"/>
    <x v="156"/>
    <s v="CUST0112"/>
    <s v="Corporate"/>
    <x v="3"/>
    <s v="Furniture"/>
    <x v="1"/>
    <n v="1"/>
    <n v="41.87"/>
    <x v="2"/>
    <x v="551"/>
    <n v="3.92"/>
  </r>
  <r>
    <x v="556"/>
    <x v="157"/>
    <s v="CUST0160"/>
    <s v="Corporate"/>
    <x v="4"/>
    <s v="Technology"/>
    <x v="1"/>
    <n v="1"/>
    <n v="225.62"/>
    <x v="1"/>
    <x v="552"/>
    <n v="8.59"/>
  </r>
  <r>
    <x v="557"/>
    <x v="157"/>
    <s v="CUST0262"/>
    <s v="Corporate"/>
    <x v="8"/>
    <s v="Furniture"/>
    <x v="0"/>
    <n v="1"/>
    <n v="314.92"/>
    <x v="1"/>
    <x v="553"/>
    <n v="64.31"/>
  </r>
  <r>
    <x v="558"/>
    <x v="157"/>
    <s v="CUST0093"/>
    <s v="Consumer"/>
    <x v="1"/>
    <s v="Furniture"/>
    <x v="0"/>
    <n v="2"/>
    <n v="195.6"/>
    <x v="3"/>
    <x v="554"/>
    <n v="57.39"/>
  </r>
  <r>
    <x v="559"/>
    <x v="158"/>
    <s v="CUST0286"/>
    <s v="Small Business"/>
    <x v="10"/>
    <s v="Office Supplies"/>
    <x v="0"/>
    <n v="1"/>
    <n v="8.7799999999999994"/>
    <x v="2"/>
    <x v="555"/>
    <n v="1.1100000000000001"/>
  </r>
  <r>
    <x v="560"/>
    <x v="159"/>
    <s v="CUST0238"/>
    <s v="Corporate"/>
    <x v="10"/>
    <s v="Office Supplies"/>
    <x v="2"/>
    <n v="2"/>
    <n v="8.39"/>
    <x v="1"/>
    <x v="556"/>
    <n v="3.62"/>
  </r>
  <r>
    <x v="561"/>
    <x v="160"/>
    <s v="CUST0188"/>
    <s v="Consumer"/>
    <x v="7"/>
    <s v="Technology"/>
    <x v="3"/>
    <n v="4"/>
    <n v="25.83"/>
    <x v="0"/>
    <x v="557"/>
    <n v="21.37"/>
  </r>
  <r>
    <x v="562"/>
    <x v="160"/>
    <s v="CUST0190"/>
    <s v="Consumer"/>
    <x v="7"/>
    <s v="Technology"/>
    <x v="0"/>
    <n v="1"/>
    <n v="28.84"/>
    <x v="3"/>
    <x v="558"/>
    <n v="6.61"/>
  </r>
  <r>
    <x v="563"/>
    <x v="160"/>
    <s v="CUST0117"/>
    <s v="Consumer"/>
    <x v="9"/>
    <s v="Office Supplies"/>
    <x v="2"/>
    <n v="5"/>
    <n v="17.98"/>
    <x v="4"/>
    <x v="559"/>
    <n v="9.93"/>
  </r>
  <r>
    <x v="564"/>
    <x v="160"/>
    <s v="CUST0042"/>
    <s v="Corporate"/>
    <x v="0"/>
    <s v="Office Supplies"/>
    <x v="0"/>
    <n v="3"/>
    <n v="13.27"/>
    <x v="3"/>
    <x v="560"/>
    <n v="5.42"/>
  </r>
  <r>
    <x v="565"/>
    <x v="160"/>
    <s v="CUST0200"/>
    <s v="Consumer"/>
    <x v="11"/>
    <s v="Lifestyle"/>
    <x v="3"/>
    <n v="1"/>
    <n v="22.52"/>
    <x v="2"/>
    <x v="561"/>
    <n v="5.16"/>
  </r>
  <r>
    <x v="566"/>
    <x v="161"/>
    <s v="CUST0153"/>
    <s v="Corporate"/>
    <x v="7"/>
    <s v="Technology"/>
    <x v="2"/>
    <n v="1"/>
    <n v="30.36"/>
    <x v="3"/>
    <x v="562"/>
    <n v="6.17"/>
  </r>
  <r>
    <x v="567"/>
    <x v="161"/>
    <s v="CUST0245"/>
    <s v="Corporate"/>
    <x v="10"/>
    <s v="Office Supplies"/>
    <x v="3"/>
    <n v="1"/>
    <n v="8.7100000000000009"/>
    <x v="0"/>
    <x v="475"/>
    <n v="1.78"/>
  </r>
  <r>
    <x v="568"/>
    <x v="161"/>
    <s v="CUST0184"/>
    <s v="Small Business"/>
    <x v="5"/>
    <s v="Lifestyle"/>
    <x v="1"/>
    <n v="1"/>
    <n v="55.59"/>
    <x v="1"/>
    <x v="563"/>
    <n v="5.09"/>
  </r>
  <r>
    <x v="569"/>
    <x v="161"/>
    <s v="CUST0161"/>
    <s v="Corporate"/>
    <x v="6"/>
    <s v="Technology"/>
    <x v="2"/>
    <n v="1"/>
    <n v="960.91"/>
    <x v="1"/>
    <x v="564"/>
    <n v="173.5"/>
  </r>
  <r>
    <x v="570"/>
    <x v="162"/>
    <s v="CUST0048"/>
    <s v="Corporate"/>
    <x v="11"/>
    <s v="Lifestyle"/>
    <x v="0"/>
    <n v="1"/>
    <n v="24.04"/>
    <x v="3"/>
    <x v="565"/>
    <n v="5.01"/>
  </r>
  <r>
    <x v="571"/>
    <x v="162"/>
    <s v="CUST0139"/>
    <s v="Corporate"/>
    <x v="11"/>
    <s v="Lifestyle"/>
    <x v="2"/>
    <n v="2"/>
    <n v="23.37"/>
    <x v="3"/>
    <x v="566"/>
    <n v="11.84"/>
  </r>
  <r>
    <x v="572"/>
    <x v="163"/>
    <s v="CUST0010"/>
    <s v="Consumer"/>
    <x v="4"/>
    <s v="Technology"/>
    <x v="2"/>
    <n v="3"/>
    <n v="226.64"/>
    <x v="3"/>
    <x v="567"/>
    <n v="109.4"/>
  </r>
  <r>
    <x v="573"/>
    <x v="163"/>
    <s v="CUST0111"/>
    <s v="Small Business"/>
    <x v="6"/>
    <s v="Technology"/>
    <x v="2"/>
    <n v="2"/>
    <n v="995.1"/>
    <x v="1"/>
    <x v="568"/>
    <n v="379.24"/>
  </r>
  <r>
    <x v="574"/>
    <x v="164"/>
    <s v="CUST0063"/>
    <s v="Consumer"/>
    <x v="11"/>
    <s v="Lifestyle"/>
    <x v="1"/>
    <n v="3"/>
    <n v="24.03"/>
    <x v="3"/>
    <x v="569"/>
    <n v="7.91"/>
  </r>
  <r>
    <x v="575"/>
    <x v="164"/>
    <s v="CUST0025"/>
    <s v="Consumer"/>
    <x v="6"/>
    <s v="Technology"/>
    <x v="1"/>
    <n v="2"/>
    <n v="1038.54"/>
    <x v="3"/>
    <x v="570"/>
    <n v="220.44"/>
  </r>
  <r>
    <x v="576"/>
    <x v="165"/>
    <s v="CUST0230"/>
    <s v="Small Business"/>
    <x v="2"/>
    <s v="Technology"/>
    <x v="3"/>
    <n v="1"/>
    <n v="76.900000000000006"/>
    <x v="2"/>
    <x v="571"/>
    <n v="12.79"/>
  </r>
  <r>
    <x v="577"/>
    <x v="165"/>
    <s v="CUST0043"/>
    <s v="Consumer"/>
    <x v="1"/>
    <s v="Furniture"/>
    <x v="3"/>
    <n v="4"/>
    <n v="180.84"/>
    <x v="2"/>
    <x v="572"/>
    <n v="61.16"/>
  </r>
  <r>
    <x v="578"/>
    <x v="165"/>
    <s v="CUST0193"/>
    <s v="Consumer"/>
    <x v="10"/>
    <s v="Office Supplies"/>
    <x v="2"/>
    <n v="1"/>
    <n v="8.1199999999999992"/>
    <x v="3"/>
    <x v="573"/>
    <n v="1.04"/>
  </r>
  <r>
    <x v="579"/>
    <x v="166"/>
    <s v="CUST0079"/>
    <s v="Consumer"/>
    <x v="4"/>
    <s v="Technology"/>
    <x v="0"/>
    <n v="2"/>
    <n v="230.06"/>
    <x v="3"/>
    <x v="574"/>
    <n v="46.74"/>
  </r>
  <r>
    <x v="580"/>
    <x v="166"/>
    <s v="CUST0056"/>
    <s v="Consumer"/>
    <x v="9"/>
    <s v="Office Supplies"/>
    <x v="0"/>
    <n v="3"/>
    <n v="19.309999999999999"/>
    <x v="3"/>
    <x v="575"/>
    <n v="15.24"/>
  </r>
  <r>
    <x v="581"/>
    <x v="166"/>
    <s v="CUST0113"/>
    <s v="Small Business"/>
    <x v="3"/>
    <s v="Furniture"/>
    <x v="3"/>
    <n v="2"/>
    <n v="40.22"/>
    <x v="2"/>
    <x v="576"/>
    <n v="14.74"/>
  </r>
  <r>
    <x v="582"/>
    <x v="166"/>
    <s v="CUST0253"/>
    <s v="Consumer"/>
    <x v="11"/>
    <s v="Lifestyle"/>
    <x v="2"/>
    <n v="5"/>
    <n v="20.66"/>
    <x v="1"/>
    <x v="577"/>
    <n v="6.07"/>
  </r>
  <r>
    <x v="583"/>
    <x v="167"/>
    <s v="CUST0150"/>
    <s v="Small Business"/>
    <x v="6"/>
    <s v="Technology"/>
    <x v="2"/>
    <n v="2"/>
    <n v="983.39"/>
    <x v="2"/>
    <x v="578"/>
    <n v="358.66"/>
  </r>
  <r>
    <x v="584"/>
    <x v="167"/>
    <s v="CUST0139"/>
    <s v="Consumer"/>
    <x v="7"/>
    <s v="Technology"/>
    <x v="0"/>
    <n v="3"/>
    <n v="28.68"/>
    <x v="0"/>
    <x v="579"/>
    <n v="9.51"/>
  </r>
  <r>
    <x v="585"/>
    <x v="167"/>
    <s v="CUST0258"/>
    <s v="Corporate"/>
    <x v="5"/>
    <s v="Lifestyle"/>
    <x v="0"/>
    <n v="2"/>
    <n v="54.68"/>
    <x v="2"/>
    <x v="580"/>
    <n v="7.84"/>
  </r>
  <r>
    <x v="586"/>
    <x v="167"/>
    <s v="CUST0135"/>
    <s v="Small Business"/>
    <x v="3"/>
    <s v="Furniture"/>
    <x v="2"/>
    <n v="1"/>
    <n v="41.27"/>
    <x v="0"/>
    <x v="581"/>
    <n v="8.66"/>
  </r>
  <r>
    <x v="587"/>
    <x v="168"/>
    <s v="CUST0167"/>
    <s v="Consumer"/>
    <x v="0"/>
    <s v="Office Supplies"/>
    <x v="0"/>
    <n v="1"/>
    <n v="15.38"/>
    <x v="2"/>
    <x v="354"/>
    <n v="2.98"/>
  </r>
  <r>
    <x v="588"/>
    <x v="168"/>
    <s v="CUST0198"/>
    <s v="Consumer"/>
    <x v="7"/>
    <s v="Technology"/>
    <x v="2"/>
    <n v="3"/>
    <n v="26.87"/>
    <x v="2"/>
    <x v="582"/>
    <n v="15.04"/>
  </r>
  <r>
    <x v="589"/>
    <x v="168"/>
    <s v="CUST0114"/>
    <s v="Consumer"/>
    <x v="5"/>
    <s v="Lifestyle"/>
    <x v="3"/>
    <n v="1"/>
    <n v="50.55"/>
    <x v="2"/>
    <x v="583"/>
    <n v="6.89"/>
  </r>
  <r>
    <x v="590"/>
    <x v="169"/>
    <s v="CUST0278"/>
    <s v="Corporate"/>
    <x v="11"/>
    <s v="Lifestyle"/>
    <x v="1"/>
    <n v="1"/>
    <n v="21.93"/>
    <x v="2"/>
    <x v="119"/>
    <n v="2.5"/>
  </r>
  <r>
    <x v="591"/>
    <x v="169"/>
    <s v="CUST0103"/>
    <s v="Consumer"/>
    <x v="2"/>
    <s v="Technology"/>
    <x v="1"/>
    <n v="3"/>
    <n v="77.41"/>
    <x v="3"/>
    <x v="584"/>
    <n v="56.16"/>
  </r>
  <r>
    <x v="592"/>
    <x v="169"/>
    <s v="CUST0036"/>
    <s v="Consumer"/>
    <x v="1"/>
    <s v="Furniture"/>
    <x v="0"/>
    <n v="1"/>
    <n v="188.49"/>
    <x v="0"/>
    <x v="585"/>
    <n v="39.49"/>
  </r>
  <r>
    <x v="593"/>
    <x v="169"/>
    <s v="CUST0220"/>
    <s v="Consumer"/>
    <x v="5"/>
    <s v="Lifestyle"/>
    <x v="3"/>
    <n v="4"/>
    <n v="49.65"/>
    <x v="2"/>
    <x v="586"/>
    <n v="24.28"/>
  </r>
  <r>
    <x v="594"/>
    <x v="169"/>
    <s v="CUST0072"/>
    <s v="Corporate"/>
    <x v="6"/>
    <s v="Technology"/>
    <x v="2"/>
    <n v="1"/>
    <n v="943.48"/>
    <x v="3"/>
    <x v="587"/>
    <n v="221.41"/>
  </r>
  <r>
    <x v="595"/>
    <x v="170"/>
    <s v="CUST0179"/>
    <s v="Corporate"/>
    <x v="9"/>
    <s v="Office Supplies"/>
    <x v="0"/>
    <n v="2"/>
    <n v="18.38"/>
    <x v="2"/>
    <x v="588"/>
    <n v="8.85"/>
  </r>
  <r>
    <x v="596"/>
    <x v="170"/>
    <s v="CUST0061"/>
    <s v="Corporate"/>
    <x v="11"/>
    <s v="Lifestyle"/>
    <x v="3"/>
    <n v="1"/>
    <n v="23.75"/>
    <x v="3"/>
    <x v="589"/>
    <n v="4.1500000000000004"/>
  </r>
  <r>
    <x v="597"/>
    <x v="170"/>
    <s v="CUST0134"/>
    <s v="Small Business"/>
    <x v="2"/>
    <s v="Technology"/>
    <x v="3"/>
    <n v="2"/>
    <n v="70.48"/>
    <x v="0"/>
    <x v="590"/>
    <n v="13.09"/>
  </r>
  <r>
    <x v="598"/>
    <x v="171"/>
    <s v="CUST0070"/>
    <s v="Consumer"/>
    <x v="4"/>
    <s v="Technology"/>
    <x v="0"/>
    <n v="5"/>
    <n v="210.54"/>
    <x v="1"/>
    <x v="591"/>
    <n v="53.02"/>
  </r>
  <r>
    <x v="599"/>
    <x v="171"/>
    <s v="CUST0139"/>
    <s v="Consumer"/>
    <x v="6"/>
    <s v="Technology"/>
    <x v="0"/>
    <n v="1"/>
    <n v="1020.98"/>
    <x v="4"/>
    <x v="592"/>
    <n v="80.239999999999995"/>
  </r>
  <r>
    <x v="600"/>
    <x v="171"/>
    <s v="CUST0020"/>
    <s v="Corporate"/>
    <x v="9"/>
    <s v="Office Supplies"/>
    <x v="1"/>
    <n v="1"/>
    <n v="17.97"/>
    <x v="3"/>
    <x v="593"/>
    <n v="2.5499999999999998"/>
  </r>
  <r>
    <x v="601"/>
    <x v="171"/>
    <s v="CUST0160"/>
    <s v="Small Business"/>
    <x v="11"/>
    <s v="Lifestyle"/>
    <x v="3"/>
    <n v="1"/>
    <n v="21.61"/>
    <x v="2"/>
    <x v="594"/>
    <n v="2.78"/>
  </r>
  <r>
    <x v="602"/>
    <x v="172"/>
    <s v="CUST0108"/>
    <s v="Corporate"/>
    <x v="5"/>
    <s v="Lifestyle"/>
    <x v="2"/>
    <n v="1"/>
    <n v="55.15"/>
    <x v="0"/>
    <x v="595"/>
    <n v="10.58"/>
  </r>
  <r>
    <x v="603"/>
    <x v="173"/>
    <s v="CUST0073"/>
    <s v="Small Business"/>
    <x v="4"/>
    <s v="Technology"/>
    <x v="1"/>
    <n v="1"/>
    <n v="203.22"/>
    <x v="0"/>
    <x v="596"/>
    <n v="12.4"/>
  </r>
  <r>
    <x v="604"/>
    <x v="173"/>
    <s v="CUST0144"/>
    <s v="Corporate"/>
    <x v="2"/>
    <s v="Technology"/>
    <x v="0"/>
    <n v="3"/>
    <n v="73.58"/>
    <x v="3"/>
    <x v="597"/>
    <n v="29.54"/>
  </r>
  <r>
    <x v="605"/>
    <x v="174"/>
    <s v="CUST0226"/>
    <s v="Consumer"/>
    <x v="9"/>
    <s v="Office Supplies"/>
    <x v="2"/>
    <n v="2"/>
    <n v="19.38"/>
    <x v="4"/>
    <x v="598"/>
    <n v="4.4400000000000004"/>
  </r>
  <r>
    <x v="606"/>
    <x v="174"/>
    <s v="CUST0092"/>
    <s v="Small Business"/>
    <x v="1"/>
    <s v="Furniture"/>
    <x v="0"/>
    <n v="2"/>
    <n v="179.98"/>
    <x v="1"/>
    <x v="599"/>
    <n v="49.34"/>
  </r>
  <r>
    <x v="607"/>
    <x v="174"/>
    <s v="CUST0271"/>
    <s v="Consumer"/>
    <x v="5"/>
    <s v="Lifestyle"/>
    <x v="2"/>
    <n v="1"/>
    <n v="57.31"/>
    <x v="2"/>
    <x v="600"/>
    <n v="4.8600000000000003"/>
  </r>
  <r>
    <x v="608"/>
    <x v="174"/>
    <s v="CUST0012"/>
    <s v="Consumer"/>
    <x v="1"/>
    <s v="Furniture"/>
    <x v="0"/>
    <n v="2"/>
    <n v="162.55000000000001"/>
    <x v="3"/>
    <x v="601"/>
    <n v="40.32"/>
  </r>
  <r>
    <x v="609"/>
    <x v="174"/>
    <s v="CUST0120"/>
    <s v="Corporate"/>
    <x v="7"/>
    <s v="Technology"/>
    <x v="3"/>
    <n v="1"/>
    <n v="26.6"/>
    <x v="0"/>
    <x v="602"/>
    <n v="5.47"/>
  </r>
  <r>
    <x v="610"/>
    <x v="174"/>
    <s v="CUST0034"/>
    <s v="Corporate"/>
    <x v="10"/>
    <s v="Office Supplies"/>
    <x v="3"/>
    <n v="1"/>
    <n v="8.2899999999999991"/>
    <x v="1"/>
    <x v="603"/>
    <n v="1.32"/>
  </r>
  <r>
    <x v="611"/>
    <x v="174"/>
    <s v="CUST0275"/>
    <s v="Consumer"/>
    <x v="7"/>
    <s v="Technology"/>
    <x v="0"/>
    <n v="2"/>
    <n v="30.57"/>
    <x v="1"/>
    <x v="604"/>
    <n v="4.1500000000000004"/>
  </r>
  <r>
    <x v="612"/>
    <x v="175"/>
    <s v="CUST0232"/>
    <s v="Small Business"/>
    <x v="11"/>
    <s v="Lifestyle"/>
    <x v="0"/>
    <n v="1"/>
    <n v="20.46"/>
    <x v="2"/>
    <x v="605"/>
    <n v="2.56"/>
  </r>
  <r>
    <x v="613"/>
    <x v="175"/>
    <s v="CUST0169"/>
    <s v="Small Business"/>
    <x v="5"/>
    <s v="Lifestyle"/>
    <x v="2"/>
    <n v="2"/>
    <n v="55.5"/>
    <x v="0"/>
    <x v="606"/>
    <n v="6.4"/>
  </r>
  <r>
    <x v="614"/>
    <x v="175"/>
    <s v="CUST0194"/>
    <s v="Consumer"/>
    <x v="7"/>
    <s v="Technology"/>
    <x v="3"/>
    <n v="1"/>
    <n v="29.17"/>
    <x v="0"/>
    <x v="607"/>
    <n v="2.29"/>
  </r>
  <r>
    <x v="615"/>
    <x v="175"/>
    <s v="CUST0116"/>
    <s v="Small Business"/>
    <x v="3"/>
    <s v="Furniture"/>
    <x v="2"/>
    <n v="4"/>
    <n v="44.36"/>
    <x v="2"/>
    <x v="608"/>
    <n v="27.65"/>
  </r>
  <r>
    <x v="616"/>
    <x v="176"/>
    <s v="CUST0259"/>
    <s v="Corporate"/>
    <x v="1"/>
    <s v="Furniture"/>
    <x v="1"/>
    <n v="1"/>
    <n v="166.51"/>
    <x v="3"/>
    <x v="609"/>
    <n v="35.15"/>
  </r>
  <r>
    <x v="617"/>
    <x v="176"/>
    <s v="CUST0146"/>
    <s v="Corporate"/>
    <x v="9"/>
    <s v="Office Supplies"/>
    <x v="2"/>
    <n v="3"/>
    <n v="18.13"/>
    <x v="3"/>
    <x v="610"/>
    <n v="4.76"/>
  </r>
  <r>
    <x v="618"/>
    <x v="176"/>
    <s v="CUST0174"/>
    <s v="Consumer"/>
    <x v="7"/>
    <s v="Technology"/>
    <x v="2"/>
    <n v="2"/>
    <n v="30.18"/>
    <x v="0"/>
    <x v="611"/>
    <n v="8.7100000000000009"/>
  </r>
  <r>
    <x v="619"/>
    <x v="176"/>
    <s v="CUST0011"/>
    <s v="Consumer"/>
    <x v="8"/>
    <s v="Furniture"/>
    <x v="1"/>
    <n v="3"/>
    <n v="319.05"/>
    <x v="2"/>
    <x v="612"/>
    <n v="83.72"/>
  </r>
  <r>
    <x v="620"/>
    <x v="176"/>
    <s v="CUST0285"/>
    <s v="Corporate"/>
    <x v="0"/>
    <s v="Office Supplies"/>
    <x v="0"/>
    <n v="1"/>
    <n v="13.19"/>
    <x v="0"/>
    <x v="613"/>
    <n v="2.87"/>
  </r>
  <r>
    <x v="621"/>
    <x v="176"/>
    <s v="CUST0156"/>
    <s v="Consumer"/>
    <x v="2"/>
    <s v="Technology"/>
    <x v="3"/>
    <n v="1"/>
    <n v="77.680000000000007"/>
    <x v="2"/>
    <x v="614"/>
    <n v="14.02"/>
  </r>
  <r>
    <x v="622"/>
    <x v="176"/>
    <s v="CUST0218"/>
    <s v="Consumer"/>
    <x v="9"/>
    <s v="Office Supplies"/>
    <x v="0"/>
    <n v="4"/>
    <n v="19.489999999999998"/>
    <x v="3"/>
    <x v="615"/>
    <n v="21.53"/>
  </r>
  <r>
    <x v="623"/>
    <x v="177"/>
    <s v="CUST0156"/>
    <s v="Corporate"/>
    <x v="3"/>
    <s v="Furniture"/>
    <x v="3"/>
    <n v="1"/>
    <n v="44.36"/>
    <x v="4"/>
    <x v="616"/>
    <n v="3.93"/>
  </r>
  <r>
    <x v="624"/>
    <x v="177"/>
    <s v="CUST0293"/>
    <s v="Corporate"/>
    <x v="7"/>
    <s v="Technology"/>
    <x v="3"/>
    <n v="3"/>
    <n v="27.84"/>
    <x v="0"/>
    <x v="617"/>
    <n v="18.55"/>
  </r>
  <r>
    <x v="625"/>
    <x v="177"/>
    <s v="CUST0136"/>
    <s v="Consumer"/>
    <x v="3"/>
    <s v="Furniture"/>
    <x v="1"/>
    <n v="1"/>
    <n v="37.979999999999997"/>
    <x v="0"/>
    <x v="618"/>
    <n v="6.45"/>
  </r>
  <r>
    <x v="626"/>
    <x v="177"/>
    <s v="CUST0221"/>
    <s v="Corporate"/>
    <x v="2"/>
    <s v="Technology"/>
    <x v="3"/>
    <n v="2"/>
    <n v="70.930000000000007"/>
    <x v="0"/>
    <x v="619"/>
    <n v="13.82"/>
  </r>
  <r>
    <x v="627"/>
    <x v="177"/>
    <s v="CUST0190"/>
    <s v="Consumer"/>
    <x v="7"/>
    <s v="Technology"/>
    <x v="2"/>
    <n v="4"/>
    <n v="28.51"/>
    <x v="3"/>
    <x v="620"/>
    <n v="20.66"/>
  </r>
  <r>
    <x v="628"/>
    <x v="178"/>
    <s v="CUST0149"/>
    <s v="Small Business"/>
    <x v="5"/>
    <s v="Lifestyle"/>
    <x v="0"/>
    <n v="1"/>
    <n v="49.63"/>
    <x v="4"/>
    <x v="621"/>
    <n v="9.64"/>
  </r>
  <r>
    <x v="629"/>
    <x v="178"/>
    <s v="CUST0257"/>
    <s v="Corporate"/>
    <x v="10"/>
    <s v="Office Supplies"/>
    <x v="0"/>
    <n v="1"/>
    <n v="8.56"/>
    <x v="0"/>
    <x v="622"/>
    <n v="0.82"/>
  </r>
  <r>
    <x v="630"/>
    <x v="178"/>
    <s v="CUST0155"/>
    <s v="Consumer"/>
    <x v="1"/>
    <s v="Furniture"/>
    <x v="0"/>
    <n v="2"/>
    <n v="177.56"/>
    <x v="2"/>
    <x v="623"/>
    <n v="90.31"/>
  </r>
  <r>
    <x v="631"/>
    <x v="178"/>
    <s v="CUST0188"/>
    <s v="Corporate"/>
    <x v="0"/>
    <s v="Office Supplies"/>
    <x v="0"/>
    <n v="1"/>
    <n v="12.67"/>
    <x v="0"/>
    <x v="624"/>
    <n v="1.35"/>
  </r>
  <r>
    <x v="632"/>
    <x v="179"/>
    <s v="CUST0175"/>
    <s v="Corporate"/>
    <x v="6"/>
    <s v="Technology"/>
    <x v="2"/>
    <n v="2"/>
    <n v="869.19"/>
    <x v="3"/>
    <x v="625"/>
    <n v="435.43"/>
  </r>
  <r>
    <x v="633"/>
    <x v="179"/>
    <s v="CUST0277"/>
    <s v="Consumer"/>
    <x v="5"/>
    <s v="Lifestyle"/>
    <x v="1"/>
    <n v="1"/>
    <n v="57.75"/>
    <x v="1"/>
    <x v="626"/>
    <n v="10.9"/>
  </r>
  <r>
    <x v="634"/>
    <x v="179"/>
    <s v="CUST0292"/>
    <s v="Consumer"/>
    <x v="11"/>
    <s v="Lifestyle"/>
    <x v="3"/>
    <n v="1"/>
    <n v="21.77"/>
    <x v="0"/>
    <x v="627"/>
    <n v="2.75"/>
  </r>
  <r>
    <x v="635"/>
    <x v="180"/>
    <s v="CUST0069"/>
    <s v="Consumer"/>
    <x v="6"/>
    <s v="Technology"/>
    <x v="3"/>
    <n v="3"/>
    <n v="1016.49"/>
    <x v="3"/>
    <x v="628"/>
    <n v="686.85"/>
  </r>
  <r>
    <x v="636"/>
    <x v="180"/>
    <s v="CUST0176"/>
    <s v="Corporate"/>
    <x v="1"/>
    <s v="Furniture"/>
    <x v="0"/>
    <n v="2"/>
    <n v="187.14"/>
    <x v="2"/>
    <x v="629"/>
    <n v="56.08"/>
  </r>
  <r>
    <x v="637"/>
    <x v="180"/>
    <s v="CUST0059"/>
    <s v="Consumer"/>
    <x v="0"/>
    <s v="Office Supplies"/>
    <x v="1"/>
    <n v="3"/>
    <n v="13.08"/>
    <x v="1"/>
    <x v="16"/>
    <n v="1.46"/>
  </r>
  <r>
    <x v="638"/>
    <x v="180"/>
    <s v="CUST0263"/>
    <s v="Corporate"/>
    <x v="3"/>
    <s v="Furniture"/>
    <x v="0"/>
    <n v="2"/>
    <n v="43.03"/>
    <x v="3"/>
    <x v="630"/>
    <n v="18.12"/>
  </r>
  <r>
    <x v="639"/>
    <x v="181"/>
    <s v="CUST0135"/>
    <s v="Consumer"/>
    <x v="11"/>
    <s v="Lifestyle"/>
    <x v="3"/>
    <n v="1"/>
    <n v="20.27"/>
    <x v="3"/>
    <x v="631"/>
    <n v="4.95"/>
  </r>
  <r>
    <x v="640"/>
    <x v="181"/>
    <s v="CUST0176"/>
    <s v="Small Business"/>
    <x v="1"/>
    <s v="Furniture"/>
    <x v="0"/>
    <n v="5"/>
    <n v="181.15"/>
    <x v="3"/>
    <x v="632"/>
    <n v="165.08"/>
  </r>
  <r>
    <x v="641"/>
    <x v="181"/>
    <s v="CUST0036"/>
    <s v="Small Business"/>
    <x v="11"/>
    <s v="Lifestyle"/>
    <x v="3"/>
    <n v="3"/>
    <n v="21.9"/>
    <x v="4"/>
    <x v="633"/>
    <n v="9.69"/>
  </r>
  <r>
    <x v="642"/>
    <x v="182"/>
    <s v="CUST0167"/>
    <s v="Corporate"/>
    <x v="5"/>
    <s v="Lifestyle"/>
    <x v="1"/>
    <n v="1"/>
    <n v="49.64"/>
    <x v="1"/>
    <x v="634"/>
    <n v="5.52"/>
  </r>
  <r>
    <x v="643"/>
    <x v="182"/>
    <s v="CUST0249"/>
    <s v="Corporate"/>
    <x v="9"/>
    <s v="Office Supplies"/>
    <x v="2"/>
    <n v="1"/>
    <n v="17.309999999999999"/>
    <x v="0"/>
    <x v="635"/>
    <n v="1.98"/>
  </r>
  <r>
    <x v="644"/>
    <x v="182"/>
    <s v="CUST0153"/>
    <s v="Consumer"/>
    <x v="7"/>
    <s v="Technology"/>
    <x v="3"/>
    <n v="2"/>
    <n v="26.79"/>
    <x v="3"/>
    <x v="636"/>
    <n v="13.73"/>
  </r>
  <r>
    <x v="645"/>
    <x v="183"/>
    <s v="CUST0189"/>
    <s v="Consumer"/>
    <x v="2"/>
    <s v="Technology"/>
    <x v="0"/>
    <n v="5"/>
    <n v="72.81"/>
    <x v="3"/>
    <x v="637"/>
    <n v="59.67"/>
  </r>
  <r>
    <x v="646"/>
    <x v="183"/>
    <s v="CUST0114"/>
    <s v="Corporate"/>
    <x v="10"/>
    <s v="Office Supplies"/>
    <x v="3"/>
    <n v="1"/>
    <n v="8.3000000000000007"/>
    <x v="2"/>
    <x v="638"/>
    <n v="1.05"/>
  </r>
  <r>
    <x v="647"/>
    <x v="183"/>
    <s v="CUST0001"/>
    <s v="Corporate"/>
    <x v="1"/>
    <s v="Furniture"/>
    <x v="2"/>
    <n v="3"/>
    <n v="192.59"/>
    <x v="1"/>
    <x v="639"/>
    <n v="47.55"/>
  </r>
  <r>
    <x v="648"/>
    <x v="184"/>
    <s v="CUST0215"/>
    <s v="Small Business"/>
    <x v="6"/>
    <s v="Technology"/>
    <x v="1"/>
    <n v="2"/>
    <n v="956.74"/>
    <x v="3"/>
    <x v="640"/>
    <n v="511.19"/>
  </r>
  <r>
    <x v="649"/>
    <x v="184"/>
    <s v="CUST0273"/>
    <s v="Corporate"/>
    <x v="2"/>
    <s v="Technology"/>
    <x v="3"/>
    <n v="2"/>
    <n v="78.41"/>
    <x v="0"/>
    <x v="641"/>
    <n v="27.36"/>
  </r>
  <r>
    <x v="650"/>
    <x v="184"/>
    <s v="CUST0042"/>
    <s v="Consumer"/>
    <x v="2"/>
    <s v="Technology"/>
    <x v="0"/>
    <n v="3"/>
    <n v="81.56"/>
    <x v="0"/>
    <x v="642"/>
    <n v="42.37"/>
  </r>
  <r>
    <x v="651"/>
    <x v="185"/>
    <s v="CUST0177"/>
    <s v="Consumer"/>
    <x v="5"/>
    <s v="Lifestyle"/>
    <x v="1"/>
    <n v="3"/>
    <n v="53.07"/>
    <x v="2"/>
    <x v="643"/>
    <n v="10.88"/>
  </r>
  <r>
    <x v="652"/>
    <x v="185"/>
    <s v="CUST0194"/>
    <s v="Small Business"/>
    <x v="9"/>
    <s v="Office Supplies"/>
    <x v="3"/>
    <n v="3"/>
    <n v="16.920000000000002"/>
    <x v="3"/>
    <x v="644"/>
    <n v="11.32"/>
  </r>
  <r>
    <x v="653"/>
    <x v="185"/>
    <s v="CUST0295"/>
    <s v="Consumer"/>
    <x v="4"/>
    <s v="Technology"/>
    <x v="3"/>
    <n v="2"/>
    <n v="203.64"/>
    <x v="3"/>
    <x v="645"/>
    <n v="47.18"/>
  </r>
  <r>
    <x v="654"/>
    <x v="186"/>
    <s v="CUST0249"/>
    <s v="Consumer"/>
    <x v="2"/>
    <s v="Technology"/>
    <x v="1"/>
    <n v="1"/>
    <n v="78.3"/>
    <x v="2"/>
    <x v="646"/>
    <n v="6.44"/>
  </r>
  <r>
    <x v="655"/>
    <x v="186"/>
    <s v="CUST0213"/>
    <s v="Consumer"/>
    <x v="9"/>
    <s v="Office Supplies"/>
    <x v="0"/>
    <n v="2"/>
    <n v="17.61"/>
    <x v="4"/>
    <x v="647"/>
    <n v="1.78"/>
  </r>
  <r>
    <x v="656"/>
    <x v="187"/>
    <s v="CUST0204"/>
    <s v="Small Business"/>
    <x v="0"/>
    <s v="Office Supplies"/>
    <x v="2"/>
    <n v="1"/>
    <n v="15.11"/>
    <x v="3"/>
    <x v="648"/>
    <n v="4.13"/>
  </r>
  <r>
    <x v="657"/>
    <x v="187"/>
    <s v="CUST0197"/>
    <s v="Corporate"/>
    <x v="6"/>
    <s v="Technology"/>
    <x v="0"/>
    <n v="1"/>
    <n v="869.48"/>
    <x v="3"/>
    <x v="649"/>
    <n v="233.11"/>
  </r>
  <r>
    <x v="658"/>
    <x v="187"/>
    <s v="CUST0172"/>
    <s v="Corporate"/>
    <x v="0"/>
    <s v="Office Supplies"/>
    <x v="1"/>
    <n v="3"/>
    <n v="13.29"/>
    <x v="2"/>
    <x v="650"/>
    <n v="8.7200000000000006"/>
  </r>
  <r>
    <x v="659"/>
    <x v="188"/>
    <s v="CUST0297"/>
    <s v="Consumer"/>
    <x v="7"/>
    <s v="Technology"/>
    <x v="1"/>
    <n v="3"/>
    <n v="28.89"/>
    <x v="4"/>
    <x v="651"/>
    <n v="3.95"/>
  </r>
  <r>
    <x v="660"/>
    <x v="188"/>
    <s v="CUST0283"/>
    <s v="Small Business"/>
    <x v="5"/>
    <s v="Lifestyle"/>
    <x v="1"/>
    <n v="3"/>
    <n v="50.71"/>
    <x v="0"/>
    <x v="652"/>
    <n v="16.18"/>
  </r>
  <r>
    <x v="661"/>
    <x v="189"/>
    <s v="CUST0043"/>
    <s v="Corporate"/>
    <x v="4"/>
    <s v="Technology"/>
    <x v="0"/>
    <n v="2"/>
    <n v="200.25"/>
    <x v="2"/>
    <x v="653"/>
    <n v="60.86"/>
  </r>
  <r>
    <x v="662"/>
    <x v="189"/>
    <s v="CUST0206"/>
    <s v="Consumer"/>
    <x v="6"/>
    <s v="Technology"/>
    <x v="2"/>
    <n v="1"/>
    <n v="870.22"/>
    <x v="0"/>
    <x v="654"/>
    <n v="72.680000000000007"/>
  </r>
  <r>
    <x v="663"/>
    <x v="190"/>
    <s v="CUST0020"/>
    <s v="Small Business"/>
    <x v="10"/>
    <s v="Office Supplies"/>
    <x v="1"/>
    <n v="2"/>
    <n v="8.91"/>
    <x v="4"/>
    <x v="655"/>
    <n v="1.75"/>
  </r>
  <r>
    <x v="664"/>
    <x v="190"/>
    <s v="CUST0025"/>
    <s v="Consumer"/>
    <x v="8"/>
    <s v="Furniture"/>
    <x v="2"/>
    <n v="4"/>
    <n v="355.54"/>
    <x v="4"/>
    <x v="656"/>
    <n v="228.52"/>
  </r>
  <r>
    <x v="665"/>
    <x v="190"/>
    <s v="CUST0181"/>
    <s v="Consumer"/>
    <x v="6"/>
    <s v="Technology"/>
    <x v="1"/>
    <n v="4"/>
    <n v="974.09"/>
    <x v="3"/>
    <x v="657"/>
    <n v="334.15"/>
  </r>
  <r>
    <x v="666"/>
    <x v="190"/>
    <s v="CUST0289"/>
    <s v="Small Business"/>
    <x v="5"/>
    <s v="Lifestyle"/>
    <x v="3"/>
    <n v="5"/>
    <n v="59.77"/>
    <x v="3"/>
    <x v="658"/>
    <n v="45.61"/>
  </r>
  <r>
    <x v="667"/>
    <x v="190"/>
    <s v="CUST0012"/>
    <s v="Consumer"/>
    <x v="6"/>
    <s v="Technology"/>
    <x v="1"/>
    <n v="1"/>
    <n v="996.14"/>
    <x v="0"/>
    <x v="659"/>
    <n v="173.72"/>
  </r>
  <r>
    <x v="668"/>
    <x v="190"/>
    <s v="CUST0256"/>
    <s v="Consumer"/>
    <x v="9"/>
    <s v="Office Supplies"/>
    <x v="0"/>
    <n v="1"/>
    <n v="18.36"/>
    <x v="0"/>
    <x v="660"/>
    <n v="3.35"/>
  </r>
  <r>
    <x v="669"/>
    <x v="191"/>
    <s v="CUST0173"/>
    <s v="Consumer"/>
    <x v="8"/>
    <s v="Furniture"/>
    <x v="2"/>
    <n v="2"/>
    <n v="310.83"/>
    <x v="0"/>
    <x v="661"/>
    <n v="45.01"/>
  </r>
  <r>
    <x v="670"/>
    <x v="191"/>
    <s v="CUST0088"/>
    <s v="Consumer"/>
    <x v="10"/>
    <s v="Office Supplies"/>
    <x v="0"/>
    <n v="3"/>
    <n v="9.2799999999999994"/>
    <x v="1"/>
    <x v="662"/>
    <n v="3.7"/>
  </r>
  <r>
    <x v="671"/>
    <x v="192"/>
    <s v="CUST0055"/>
    <s v="Small Business"/>
    <x v="4"/>
    <s v="Technology"/>
    <x v="0"/>
    <n v="2"/>
    <n v="195.98"/>
    <x v="3"/>
    <x v="663"/>
    <n v="57.44"/>
  </r>
  <r>
    <x v="672"/>
    <x v="192"/>
    <s v="CUST0138"/>
    <s v="Consumer"/>
    <x v="6"/>
    <s v="Technology"/>
    <x v="3"/>
    <n v="1"/>
    <n v="874.72"/>
    <x v="3"/>
    <x v="664"/>
    <n v="212.19"/>
  </r>
  <r>
    <x v="673"/>
    <x v="193"/>
    <s v="CUST0073"/>
    <s v="Consumer"/>
    <x v="5"/>
    <s v="Lifestyle"/>
    <x v="0"/>
    <n v="2"/>
    <n v="52.61"/>
    <x v="2"/>
    <x v="665"/>
    <n v="7.26"/>
  </r>
  <r>
    <x v="674"/>
    <x v="193"/>
    <s v="CUST0103"/>
    <s v="Small Business"/>
    <x v="10"/>
    <s v="Office Supplies"/>
    <x v="0"/>
    <n v="2"/>
    <n v="9.77"/>
    <x v="1"/>
    <x v="666"/>
    <n v="1.5"/>
  </r>
  <r>
    <x v="675"/>
    <x v="193"/>
    <s v="CUST0230"/>
    <s v="Corporate"/>
    <x v="3"/>
    <s v="Furniture"/>
    <x v="3"/>
    <n v="3"/>
    <n v="41.98"/>
    <x v="3"/>
    <x v="667"/>
    <n v="27.44"/>
  </r>
  <r>
    <x v="676"/>
    <x v="193"/>
    <s v="CUST0140"/>
    <s v="Corporate"/>
    <x v="11"/>
    <s v="Lifestyle"/>
    <x v="1"/>
    <n v="1"/>
    <n v="23.36"/>
    <x v="3"/>
    <x v="668"/>
    <n v="3.08"/>
  </r>
  <r>
    <x v="677"/>
    <x v="194"/>
    <s v="CUST0217"/>
    <s v="Consumer"/>
    <x v="6"/>
    <s v="Technology"/>
    <x v="0"/>
    <n v="2"/>
    <n v="944.95"/>
    <x v="3"/>
    <x v="669"/>
    <n v="382.96"/>
  </r>
  <r>
    <x v="678"/>
    <x v="194"/>
    <s v="CUST0153"/>
    <s v="Corporate"/>
    <x v="1"/>
    <s v="Furniture"/>
    <x v="2"/>
    <n v="2"/>
    <n v="189.24"/>
    <x v="4"/>
    <x v="670"/>
    <n v="35.5"/>
  </r>
  <r>
    <x v="679"/>
    <x v="194"/>
    <s v="CUST0049"/>
    <s v="Consumer"/>
    <x v="0"/>
    <s v="Office Supplies"/>
    <x v="0"/>
    <n v="2"/>
    <n v="15.3"/>
    <x v="4"/>
    <x v="671"/>
    <n v="3.07"/>
  </r>
  <r>
    <x v="680"/>
    <x v="194"/>
    <s v="CUST0235"/>
    <s v="Small Business"/>
    <x v="4"/>
    <s v="Technology"/>
    <x v="1"/>
    <n v="2"/>
    <n v="192.49"/>
    <x v="1"/>
    <x v="672"/>
    <n v="28.07"/>
  </r>
  <r>
    <x v="681"/>
    <x v="195"/>
    <s v="CUST0245"/>
    <s v="Small Business"/>
    <x v="3"/>
    <s v="Furniture"/>
    <x v="0"/>
    <n v="1"/>
    <n v="41.04"/>
    <x v="4"/>
    <x v="673"/>
    <n v="3.02"/>
  </r>
  <r>
    <x v="682"/>
    <x v="195"/>
    <s v="CUST0019"/>
    <s v="Consumer"/>
    <x v="6"/>
    <s v="Technology"/>
    <x v="0"/>
    <n v="2"/>
    <n v="1005.38"/>
    <x v="0"/>
    <x v="674"/>
    <n v="321.8"/>
  </r>
  <r>
    <x v="683"/>
    <x v="196"/>
    <s v="CUST0146"/>
    <s v="Consumer"/>
    <x v="5"/>
    <s v="Lifestyle"/>
    <x v="3"/>
    <n v="1"/>
    <n v="60"/>
    <x v="2"/>
    <x v="675"/>
    <n v="5.05"/>
  </r>
  <r>
    <x v="684"/>
    <x v="197"/>
    <s v="CUST0229"/>
    <s v="Small Business"/>
    <x v="5"/>
    <s v="Lifestyle"/>
    <x v="0"/>
    <n v="2"/>
    <n v="54.49"/>
    <x v="3"/>
    <x v="676"/>
    <n v="25.34"/>
  </r>
  <r>
    <x v="685"/>
    <x v="197"/>
    <s v="CUST0020"/>
    <s v="Corporate"/>
    <x v="8"/>
    <s v="Furniture"/>
    <x v="0"/>
    <n v="1"/>
    <n v="302.92"/>
    <x v="3"/>
    <x v="677"/>
    <n v="82.49"/>
  </r>
  <r>
    <x v="686"/>
    <x v="197"/>
    <s v="CUST0084"/>
    <s v="Consumer"/>
    <x v="6"/>
    <s v="Technology"/>
    <x v="0"/>
    <n v="3"/>
    <n v="913.91"/>
    <x v="2"/>
    <x v="678"/>
    <n v="594.87"/>
  </r>
  <r>
    <x v="687"/>
    <x v="198"/>
    <s v="CUST0002"/>
    <s v="Corporate"/>
    <x v="10"/>
    <s v="Office Supplies"/>
    <x v="1"/>
    <n v="1"/>
    <n v="9.1199999999999992"/>
    <x v="1"/>
    <x v="484"/>
    <n v="0.88"/>
  </r>
  <r>
    <x v="688"/>
    <x v="198"/>
    <s v="CUST0072"/>
    <s v="Corporate"/>
    <x v="2"/>
    <s v="Technology"/>
    <x v="2"/>
    <n v="3"/>
    <n v="77.489999999999995"/>
    <x v="2"/>
    <x v="679"/>
    <n v="59.32"/>
  </r>
  <r>
    <x v="689"/>
    <x v="199"/>
    <s v="CUST0227"/>
    <s v="Small Business"/>
    <x v="1"/>
    <s v="Furniture"/>
    <x v="2"/>
    <n v="1"/>
    <n v="188.98"/>
    <x v="3"/>
    <x v="680"/>
    <n v="31.41"/>
  </r>
  <r>
    <x v="690"/>
    <x v="199"/>
    <s v="CUST0102"/>
    <s v="Consumer"/>
    <x v="6"/>
    <s v="Technology"/>
    <x v="0"/>
    <n v="3"/>
    <n v="940.25"/>
    <x v="2"/>
    <x v="681"/>
    <n v="314.08999999999997"/>
  </r>
  <r>
    <x v="691"/>
    <x v="200"/>
    <s v="CUST0005"/>
    <s v="Small Business"/>
    <x v="0"/>
    <s v="Office Supplies"/>
    <x v="1"/>
    <n v="2"/>
    <n v="12.63"/>
    <x v="3"/>
    <x v="682"/>
    <n v="6.2"/>
  </r>
  <r>
    <x v="692"/>
    <x v="200"/>
    <s v="CUST0218"/>
    <s v="Consumer"/>
    <x v="11"/>
    <s v="Lifestyle"/>
    <x v="0"/>
    <n v="1"/>
    <n v="21.93"/>
    <x v="3"/>
    <x v="683"/>
    <n v="5.03"/>
  </r>
  <r>
    <x v="693"/>
    <x v="200"/>
    <s v="CUST0121"/>
    <s v="Corporate"/>
    <x v="8"/>
    <s v="Furniture"/>
    <x v="2"/>
    <n v="2"/>
    <n v="359.07"/>
    <x v="3"/>
    <x v="684"/>
    <n v="69.33"/>
  </r>
  <r>
    <x v="694"/>
    <x v="200"/>
    <s v="CUST0186"/>
    <s v="Small Business"/>
    <x v="6"/>
    <s v="Technology"/>
    <x v="3"/>
    <n v="2"/>
    <n v="959.45"/>
    <x v="3"/>
    <x v="685"/>
    <n v="313.61"/>
  </r>
  <r>
    <x v="695"/>
    <x v="200"/>
    <s v="CUST0250"/>
    <s v="Corporate"/>
    <x v="5"/>
    <s v="Lifestyle"/>
    <x v="0"/>
    <n v="2"/>
    <n v="57.46"/>
    <x v="3"/>
    <x v="686"/>
    <n v="27.72"/>
  </r>
  <r>
    <x v="696"/>
    <x v="200"/>
    <s v="CUST0008"/>
    <s v="Small Business"/>
    <x v="0"/>
    <s v="Office Supplies"/>
    <x v="3"/>
    <n v="2"/>
    <n v="12.9"/>
    <x v="1"/>
    <x v="687"/>
    <n v="5.37"/>
  </r>
  <r>
    <x v="697"/>
    <x v="200"/>
    <s v="CUST0184"/>
    <s v="Consumer"/>
    <x v="8"/>
    <s v="Furniture"/>
    <x v="3"/>
    <n v="4"/>
    <n v="339.92"/>
    <x v="3"/>
    <x v="688"/>
    <n v="198.24"/>
  </r>
  <r>
    <x v="698"/>
    <x v="200"/>
    <s v="CUST0178"/>
    <s v="Small Business"/>
    <x v="6"/>
    <s v="Technology"/>
    <x v="1"/>
    <n v="2"/>
    <n v="960.38"/>
    <x v="1"/>
    <x v="689"/>
    <n v="282.57"/>
  </r>
  <r>
    <x v="699"/>
    <x v="201"/>
    <s v="CUST0059"/>
    <s v="Consumer"/>
    <x v="8"/>
    <s v="Furniture"/>
    <x v="3"/>
    <n v="2"/>
    <n v="306.73"/>
    <x v="3"/>
    <x v="690"/>
    <n v="58.06"/>
  </r>
  <r>
    <x v="700"/>
    <x v="201"/>
    <s v="CUST0266"/>
    <s v="Corporate"/>
    <x v="1"/>
    <s v="Furniture"/>
    <x v="2"/>
    <n v="1"/>
    <n v="164.88"/>
    <x v="0"/>
    <x v="691"/>
    <n v="22.4"/>
  </r>
  <r>
    <x v="701"/>
    <x v="201"/>
    <s v="CUST0207"/>
    <s v="Consumer"/>
    <x v="0"/>
    <s v="Office Supplies"/>
    <x v="2"/>
    <n v="1"/>
    <n v="14.54"/>
    <x v="3"/>
    <x v="692"/>
    <n v="2.92"/>
  </r>
  <r>
    <x v="702"/>
    <x v="201"/>
    <s v="CUST0287"/>
    <s v="Corporate"/>
    <x v="5"/>
    <s v="Lifestyle"/>
    <x v="1"/>
    <n v="3"/>
    <n v="50.16"/>
    <x v="2"/>
    <x v="693"/>
    <n v="25.42"/>
  </r>
  <r>
    <x v="703"/>
    <x v="202"/>
    <s v="CUST0093"/>
    <s v="Corporate"/>
    <x v="6"/>
    <s v="Technology"/>
    <x v="3"/>
    <n v="1"/>
    <n v="943.24"/>
    <x v="1"/>
    <x v="694"/>
    <n v="62.01"/>
  </r>
  <r>
    <x v="704"/>
    <x v="202"/>
    <s v="CUST0144"/>
    <s v="Corporate"/>
    <x v="10"/>
    <s v="Office Supplies"/>
    <x v="0"/>
    <n v="4"/>
    <n v="8.43"/>
    <x v="1"/>
    <x v="695"/>
    <n v="6.89"/>
  </r>
  <r>
    <x v="705"/>
    <x v="202"/>
    <s v="CUST0163"/>
    <s v="Small Business"/>
    <x v="7"/>
    <s v="Technology"/>
    <x v="2"/>
    <n v="2"/>
    <n v="25.83"/>
    <x v="3"/>
    <x v="696"/>
    <n v="5.03"/>
  </r>
  <r>
    <x v="706"/>
    <x v="202"/>
    <s v="CUST0170"/>
    <s v="Corporate"/>
    <x v="8"/>
    <s v="Furniture"/>
    <x v="0"/>
    <n v="2"/>
    <n v="308.33"/>
    <x v="0"/>
    <x v="697"/>
    <n v="119.98"/>
  </r>
  <r>
    <x v="707"/>
    <x v="203"/>
    <s v="CUST0289"/>
    <s v="Corporate"/>
    <x v="11"/>
    <s v="Lifestyle"/>
    <x v="1"/>
    <n v="2"/>
    <n v="22.31"/>
    <x v="1"/>
    <x v="698"/>
    <n v="1.62"/>
  </r>
  <r>
    <x v="708"/>
    <x v="203"/>
    <s v="CUST0072"/>
    <s v="Consumer"/>
    <x v="11"/>
    <s v="Lifestyle"/>
    <x v="3"/>
    <n v="1"/>
    <n v="23.67"/>
    <x v="3"/>
    <x v="699"/>
    <n v="2.11"/>
  </r>
  <r>
    <x v="709"/>
    <x v="203"/>
    <s v="CUST0053"/>
    <s v="Small Business"/>
    <x v="10"/>
    <s v="Office Supplies"/>
    <x v="1"/>
    <n v="3"/>
    <n v="8.1999999999999993"/>
    <x v="1"/>
    <x v="700"/>
    <n v="0.94"/>
  </r>
  <r>
    <x v="710"/>
    <x v="204"/>
    <s v="CUST0022"/>
    <s v="Consumer"/>
    <x v="6"/>
    <s v="Technology"/>
    <x v="0"/>
    <n v="1"/>
    <n v="906.02"/>
    <x v="2"/>
    <x v="701"/>
    <n v="107.65"/>
  </r>
  <r>
    <x v="711"/>
    <x v="204"/>
    <s v="CUST0227"/>
    <s v="Corporate"/>
    <x v="11"/>
    <s v="Lifestyle"/>
    <x v="1"/>
    <n v="1"/>
    <n v="21.16"/>
    <x v="1"/>
    <x v="702"/>
    <n v="4.4800000000000004"/>
  </r>
  <r>
    <x v="712"/>
    <x v="204"/>
    <s v="CUST0171"/>
    <s v="Consumer"/>
    <x v="1"/>
    <s v="Furniture"/>
    <x v="2"/>
    <n v="4"/>
    <n v="180.42"/>
    <x v="3"/>
    <x v="703"/>
    <n v="168.8"/>
  </r>
  <r>
    <x v="713"/>
    <x v="204"/>
    <s v="CUST0225"/>
    <s v="Corporate"/>
    <x v="7"/>
    <s v="Technology"/>
    <x v="0"/>
    <n v="2"/>
    <n v="27.87"/>
    <x v="0"/>
    <x v="704"/>
    <n v="13.21"/>
  </r>
  <r>
    <x v="714"/>
    <x v="205"/>
    <s v="CUST0269"/>
    <s v="Small Business"/>
    <x v="6"/>
    <s v="Technology"/>
    <x v="3"/>
    <n v="1"/>
    <n v="959.47"/>
    <x v="4"/>
    <x v="705"/>
    <n v="183.6"/>
  </r>
  <r>
    <x v="715"/>
    <x v="205"/>
    <s v="CUST0228"/>
    <s v="Corporate"/>
    <x v="5"/>
    <s v="Lifestyle"/>
    <x v="2"/>
    <n v="2"/>
    <n v="55.97"/>
    <x v="2"/>
    <x v="706"/>
    <n v="8.02"/>
  </r>
  <r>
    <x v="716"/>
    <x v="205"/>
    <s v="CUST0154"/>
    <s v="Corporate"/>
    <x v="6"/>
    <s v="Technology"/>
    <x v="2"/>
    <n v="1"/>
    <n v="869.18"/>
    <x v="1"/>
    <x v="707"/>
    <n v="160.04"/>
  </r>
  <r>
    <x v="717"/>
    <x v="205"/>
    <s v="CUST0275"/>
    <s v="Consumer"/>
    <x v="6"/>
    <s v="Technology"/>
    <x v="3"/>
    <n v="3"/>
    <n v="914.5"/>
    <x v="1"/>
    <x v="708"/>
    <n v="455.77"/>
  </r>
  <r>
    <x v="718"/>
    <x v="205"/>
    <s v="CUST0128"/>
    <s v="Consumer"/>
    <x v="10"/>
    <s v="Office Supplies"/>
    <x v="0"/>
    <n v="4"/>
    <n v="9.67"/>
    <x v="3"/>
    <x v="709"/>
    <n v="3.33"/>
  </r>
  <r>
    <x v="719"/>
    <x v="205"/>
    <s v="CUST0003"/>
    <s v="Consumer"/>
    <x v="10"/>
    <s v="Office Supplies"/>
    <x v="0"/>
    <n v="3"/>
    <n v="9.58"/>
    <x v="0"/>
    <x v="710"/>
    <n v="5.0999999999999996"/>
  </r>
  <r>
    <x v="720"/>
    <x v="206"/>
    <s v="CUST0060"/>
    <s v="Consumer"/>
    <x v="11"/>
    <s v="Lifestyle"/>
    <x v="3"/>
    <n v="1"/>
    <n v="22.48"/>
    <x v="0"/>
    <x v="711"/>
    <n v="4.0599999999999996"/>
  </r>
  <r>
    <x v="721"/>
    <x v="206"/>
    <s v="CUST0021"/>
    <s v="Consumer"/>
    <x v="9"/>
    <s v="Office Supplies"/>
    <x v="3"/>
    <n v="2"/>
    <n v="17.920000000000002"/>
    <x v="3"/>
    <x v="712"/>
    <n v="5.69"/>
  </r>
  <r>
    <x v="722"/>
    <x v="206"/>
    <s v="CUST0285"/>
    <s v="Consumer"/>
    <x v="2"/>
    <s v="Technology"/>
    <x v="1"/>
    <n v="2"/>
    <n v="79.260000000000005"/>
    <x v="0"/>
    <x v="713"/>
    <n v="20.51"/>
  </r>
  <r>
    <x v="723"/>
    <x v="206"/>
    <s v="CUST0170"/>
    <s v="Consumer"/>
    <x v="11"/>
    <s v="Lifestyle"/>
    <x v="1"/>
    <n v="2"/>
    <n v="21.07"/>
    <x v="1"/>
    <x v="198"/>
    <n v="2.86"/>
  </r>
  <r>
    <x v="724"/>
    <x v="206"/>
    <s v="CUST0264"/>
    <s v="Consumer"/>
    <x v="8"/>
    <s v="Furniture"/>
    <x v="0"/>
    <n v="5"/>
    <n v="303.95"/>
    <x v="0"/>
    <x v="714"/>
    <n v="235.29"/>
  </r>
  <r>
    <x v="725"/>
    <x v="206"/>
    <s v="CUST0111"/>
    <s v="Small Business"/>
    <x v="11"/>
    <s v="Lifestyle"/>
    <x v="0"/>
    <n v="1"/>
    <n v="22.4"/>
    <x v="2"/>
    <x v="715"/>
    <n v="4.28"/>
  </r>
  <r>
    <x v="726"/>
    <x v="206"/>
    <s v="CUST0173"/>
    <s v="Consumer"/>
    <x v="6"/>
    <s v="Technology"/>
    <x v="0"/>
    <n v="1"/>
    <n v="977.63"/>
    <x v="0"/>
    <x v="716"/>
    <n v="173.23"/>
  </r>
  <r>
    <x v="727"/>
    <x v="207"/>
    <s v="CUST0117"/>
    <s v="Corporate"/>
    <x v="3"/>
    <s v="Furniture"/>
    <x v="3"/>
    <n v="2"/>
    <n v="41.93"/>
    <x v="3"/>
    <x v="717"/>
    <n v="7.79"/>
  </r>
  <r>
    <x v="728"/>
    <x v="207"/>
    <s v="CUST0083"/>
    <s v="Corporate"/>
    <x v="5"/>
    <s v="Lifestyle"/>
    <x v="1"/>
    <n v="1"/>
    <n v="60.02"/>
    <x v="2"/>
    <x v="718"/>
    <n v="12.46"/>
  </r>
  <r>
    <x v="729"/>
    <x v="207"/>
    <s v="CUST0043"/>
    <s v="Corporate"/>
    <x v="0"/>
    <s v="Office Supplies"/>
    <x v="3"/>
    <n v="2"/>
    <n v="14.67"/>
    <x v="0"/>
    <x v="719"/>
    <n v="4.63"/>
  </r>
  <r>
    <x v="730"/>
    <x v="207"/>
    <s v="CUST0126"/>
    <s v="Consumer"/>
    <x v="10"/>
    <s v="Office Supplies"/>
    <x v="3"/>
    <n v="1"/>
    <n v="9.49"/>
    <x v="3"/>
    <x v="720"/>
    <n v="1.74"/>
  </r>
  <r>
    <x v="731"/>
    <x v="207"/>
    <s v="CUST0207"/>
    <s v="Small Business"/>
    <x v="6"/>
    <s v="Technology"/>
    <x v="0"/>
    <n v="2"/>
    <n v="979.39"/>
    <x v="3"/>
    <x v="721"/>
    <n v="479.42"/>
  </r>
  <r>
    <x v="732"/>
    <x v="208"/>
    <s v="CUST0068"/>
    <s v="Consumer"/>
    <x v="11"/>
    <s v="Lifestyle"/>
    <x v="0"/>
    <n v="2"/>
    <n v="22.4"/>
    <x v="0"/>
    <x v="722"/>
    <n v="8.2100000000000009"/>
  </r>
  <r>
    <x v="733"/>
    <x v="208"/>
    <s v="CUST0135"/>
    <s v="Corporate"/>
    <x v="9"/>
    <s v="Office Supplies"/>
    <x v="3"/>
    <n v="1"/>
    <n v="16.899999999999999"/>
    <x v="4"/>
    <x v="723"/>
    <n v="1.47"/>
  </r>
  <r>
    <x v="734"/>
    <x v="208"/>
    <s v="CUST0151"/>
    <s v="Corporate"/>
    <x v="4"/>
    <s v="Technology"/>
    <x v="1"/>
    <n v="2"/>
    <n v="202.8"/>
    <x v="3"/>
    <x v="724"/>
    <n v="87"/>
  </r>
  <r>
    <x v="735"/>
    <x v="208"/>
    <s v="CUST0071"/>
    <s v="Consumer"/>
    <x v="1"/>
    <s v="Furniture"/>
    <x v="0"/>
    <n v="2"/>
    <n v="191.18"/>
    <x v="2"/>
    <x v="725"/>
    <n v="77.959999999999994"/>
  </r>
  <r>
    <x v="736"/>
    <x v="209"/>
    <s v="CUST0222"/>
    <s v="Consumer"/>
    <x v="9"/>
    <s v="Office Supplies"/>
    <x v="1"/>
    <n v="1"/>
    <n v="17.850000000000001"/>
    <x v="0"/>
    <x v="726"/>
    <n v="2.7"/>
  </r>
  <r>
    <x v="737"/>
    <x v="209"/>
    <s v="CUST0262"/>
    <s v="Consumer"/>
    <x v="4"/>
    <s v="Technology"/>
    <x v="0"/>
    <n v="2"/>
    <n v="195.63"/>
    <x v="2"/>
    <x v="727"/>
    <n v="82.39"/>
  </r>
  <r>
    <x v="738"/>
    <x v="209"/>
    <s v="CUST0077"/>
    <s v="Corporate"/>
    <x v="1"/>
    <s v="Furniture"/>
    <x v="0"/>
    <n v="4"/>
    <n v="190.2"/>
    <x v="2"/>
    <x v="728"/>
    <n v="87.41"/>
  </r>
  <r>
    <x v="739"/>
    <x v="210"/>
    <s v="CUST0041"/>
    <s v="Consumer"/>
    <x v="2"/>
    <s v="Technology"/>
    <x v="2"/>
    <n v="2"/>
    <n v="73.09"/>
    <x v="0"/>
    <x v="729"/>
    <n v="21.23"/>
  </r>
  <r>
    <x v="740"/>
    <x v="210"/>
    <s v="CUST0231"/>
    <s v="Corporate"/>
    <x v="8"/>
    <s v="Furniture"/>
    <x v="1"/>
    <n v="2"/>
    <n v="314.63"/>
    <x v="0"/>
    <x v="730"/>
    <n v="136.26"/>
  </r>
  <r>
    <x v="741"/>
    <x v="210"/>
    <s v="CUST0030"/>
    <s v="Small Business"/>
    <x v="7"/>
    <s v="Technology"/>
    <x v="3"/>
    <n v="1"/>
    <n v="26.45"/>
    <x v="0"/>
    <x v="731"/>
    <n v="2.81"/>
  </r>
  <r>
    <x v="742"/>
    <x v="211"/>
    <s v="CUST0160"/>
    <s v="Corporate"/>
    <x v="3"/>
    <s v="Furniture"/>
    <x v="1"/>
    <n v="4"/>
    <n v="39.35"/>
    <x v="1"/>
    <x v="732"/>
    <n v="18.2"/>
  </r>
  <r>
    <x v="743"/>
    <x v="211"/>
    <s v="CUST0166"/>
    <s v="Corporate"/>
    <x v="7"/>
    <s v="Technology"/>
    <x v="0"/>
    <n v="1"/>
    <n v="26.12"/>
    <x v="2"/>
    <x v="733"/>
    <n v="3.19"/>
  </r>
  <r>
    <x v="744"/>
    <x v="211"/>
    <s v="CUST0260"/>
    <s v="Corporate"/>
    <x v="1"/>
    <s v="Furniture"/>
    <x v="2"/>
    <n v="1"/>
    <n v="171.9"/>
    <x v="0"/>
    <x v="734"/>
    <n v="29.04"/>
  </r>
  <r>
    <x v="745"/>
    <x v="212"/>
    <s v="CUST0124"/>
    <s v="Corporate"/>
    <x v="6"/>
    <s v="Technology"/>
    <x v="0"/>
    <n v="2"/>
    <n v="1007.47"/>
    <x v="1"/>
    <x v="735"/>
    <n v="98.05"/>
  </r>
  <r>
    <x v="746"/>
    <x v="212"/>
    <s v="CUST0129"/>
    <s v="Small Business"/>
    <x v="10"/>
    <s v="Office Supplies"/>
    <x v="1"/>
    <n v="2"/>
    <n v="8.34"/>
    <x v="4"/>
    <x v="736"/>
    <n v="0.68"/>
  </r>
  <r>
    <x v="747"/>
    <x v="212"/>
    <s v="CUST0210"/>
    <s v="Corporate"/>
    <x v="10"/>
    <s v="Office Supplies"/>
    <x v="0"/>
    <n v="4"/>
    <n v="9.48"/>
    <x v="1"/>
    <x v="737"/>
    <n v="6.45"/>
  </r>
  <r>
    <x v="748"/>
    <x v="212"/>
    <s v="CUST0184"/>
    <s v="Corporate"/>
    <x v="10"/>
    <s v="Office Supplies"/>
    <x v="0"/>
    <n v="1"/>
    <n v="8.23"/>
    <x v="3"/>
    <x v="738"/>
    <n v="0.85"/>
  </r>
  <r>
    <x v="749"/>
    <x v="212"/>
    <s v="CUST0213"/>
    <s v="Small Business"/>
    <x v="5"/>
    <s v="Lifestyle"/>
    <x v="2"/>
    <n v="2"/>
    <n v="52.96"/>
    <x v="0"/>
    <x v="739"/>
    <n v="14"/>
  </r>
  <r>
    <x v="750"/>
    <x v="213"/>
    <s v="CUST0074"/>
    <s v="Corporate"/>
    <x v="4"/>
    <s v="Technology"/>
    <x v="2"/>
    <n v="1"/>
    <n v="211.59"/>
    <x v="1"/>
    <x v="740"/>
    <n v="13.8"/>
  </r>
  <r>
    <x v="751"/>
    <x v="213"/>
    <s v="CUST0202"/>
    <s v="Consumer"/>
    <x v="4"/>
    <s v="Technology"/>
    <x v="1"/>
    <n v="1"/>
    <n v="211.52"/>
    <x v="0"/>
    <x v="741"/>
    <n v="21.46"/>
  </r>
  <r>
    <x v="752"/>
    <x v="213"/>
    <s v="CUST0296"/>
    <s v="Small Business"/>
    <x v="3"/>
    <s v="Furniture"/>
    <x v="0"/>
    <n v="1"/>
    <n v="40.43"/>
    <x v="3"/>
    <x v="742"/>
    <n v="10.1"/>
  </r>
  <r>
    <x v="753"/>
    <x v="213"/>
    <s v="CUST0032"/>
    <s v="Corporate"/>
    <x v="3"/>
    <s v="Furniture"/>
    <x v="3"/>
    <n v="2"/>
    <n v="41"/>
    <x v="3"/>
    <x v="743"/>
    <n v="13.36"/>
  </r>
  <r>
    <x v="754"/>
    <x v="213"/>
    <s v="CUST0299"/>
    <s v="Consumer"/>
    <x v="7"/>
    <s v="Technology"/>
    <x v="2"/>
    <n v="4"/>
    <n v="29.47"/>
    <x v="0"/>
    <x v="744"/>
    <n v="10.8"/>
  </r>
  <r>
    <x v="755"/>
    <x v="213"/>
    <s v="CUST0170"/>
    <s v="Corporate"/>
    <x v="2"/>
    <s v="Technology"/>
    <x v="2"/>
    <n v="2"/>
    <n v="80.38"/>
    <x v="2"/>
    <x v="745"/>
    <n v="39.72"/>
  </r>
  <r>
    <x v="756"/>
    <x v="214"/>
    <s v="CUST0271"/>
    <s v="Consumer"/>
    <x v="5"/>
    <s v="Lifestyle"/>
    <x v="2"/>
    <n v="5"/>
    <n v="58.46"/>
    <x v="3"/>
    <x v="746"/>
    <n v="39.770000000000003"/>
  </r>
  <r>
    <x v="757"/>
    <x v="214"/>
    <s v="CUST0092"/>
    <s v="Corporate"/>
    <x v="2"/>
    <s v="Technology"/>
    <x v="0"/>
    <n v="2"/>
    <n v="78.09"/>
    <x v="3"/>
    <x v="747"/>
    <n v="40.97"/>
  </r>
  <r>
    <x v="758"/>
    <x v="214"/>
    <s v="CUST0118"/>
    <s v="Consumer"/>
    <x v="4"/>
    <s v="Technology"/>
    <x v="3"/>
    <n v="3"/>
    <n v="189.24"/>
    <x v="2"/>
    <x v="748"/>
    <n v="83.76"/>
  </r>
  <r>
    <x v="759"/>
    <x v="214"/>
    <s v="CUST0249"/>
    <s v="Small Business"/>
    <x v="1"/>
    <s v="Furniture"/>
    <x v="1"/>
    <n v="4"/>
    <n v="197.3"/>
    <x v="0"/>
    <x v="749"/>
    <n v="125.77"/>
  </r>
  <r>
    <x v="760"/>
    <x v="214"/>
    <s v="CUST0067"/>
    <s v="Corporate"/>
    <x v="9"/>
    <s v="Office Supplies"/>
    <x v="2"/>
    <n v="2"/>
    <n v="17.09"/>
    <x v="3"/>
    <x v="618"/>
    <n v="5.88"/>
  </r>
  <r>
    <x v="761"/>
    <x v="215"/>
    <s v="CUST0122"/>
    <s v="Small Business"/>
    <x v="7"/>
    <s v="Technology"/>
    <x v="3"/>
    <n v="2"/>
    <n v="30.2"/>
    <x v="2"/>
    <x v="750"/>
    <n v="11.71"/>
  </r>
  <r>
    <x v="762"/>
    <x v="215"/>
    <s v="CUST0188"/>
    <s v="Consumer"/>
    <x v="9"/>
    <s v="Office Supplies"/>
    <x v="3"/>
    <n v="2"/>
    <n v="17.73"/>
    <x v="3"/>
    <x v="751"/>
    <n v="6.76"/>
  </r>
  <r>
    <x v="763"/>
    <x v="216"/>
    <s v="CUST0241"/>
    <s v="Consumer"/>
    <x v="0"/>
    <s v="Office Supplies"/>
    <x v="1"/>
    <n v="1"/>
    <n v="13.38"/>
    <x v="0"/>
    <x v="752"/>
    <n v="2.14"/>
  </r>
  <r>
    <x v="764"/>
    <x v="216"/>
    <s v="CUST0182"/>
    <s v="Consumer"/>
    <x v="10"/>
    <s v="Office Supplies"/>
    <x v="0"/>
    <n v="2"/>
    <n v="9.81"/>
    <x v="1"/>
    <x v="753"/>
    <n v="2.94"/>
  </r>
  <r>
    <x v="765"/>
    <x v="217"/>
    <s v="CUST0067"/>
    <s v="Corporate"/>
    <x v="1"/>
    <s v="Furniture"/>
    <x v="1"/>
    <n v="3"/>
    <n v="180.45"/>
    <x v="3"/>
    <x v="754"/>
    <n v="54.59"/>
  </r>
  <r>
    <x v="766"/>
    <x v="218"/>
    <s v="CUST0230"/>
    <s v="Consumer"/>
    <x v="9"/>
    <s v="Office Supplies"/>
    <x v="2"/>
    <n v="1"/>
    <n v="19.54"/>
    <x v="2"/>
    <x v="755"/>
    <n v="3.92"/>
  </r>
  <r>
    <x v="767"/>
    <x v="218"/>
    <s v="CUST0225"/>
    <s v="Consumer"/>
    <x v="3"/>
    <s v="Furniture"/>
    <x v="1"/>
    <n v="1"/>
    <n v="39.200000000000003"/>
    <x v="0"/>
    <x v="756"/>
    <n v="6.81"/>
  </r>
  <r>
    <x v="768"/>
    <x v="218"/>
    <s v="CUST0219"/>
    <s v="Corporate"/>
    <x v="7"/>
    <s v="Technology"/>
    <x v="0"/>
    <n v="4"/>
    <n v="30.45"/>
    <x v="3"/>
    <x v="757"/>
    <n v="26.5"/>
  </r>
  <r>
    <x v="769"/>
    <x v="218"/>
    <s v="CUST0002"/>
    <s v="Corporate"/>
    <x v="11"/>
    <s v="Lifestyle"/>
    <x v="3"/>
    <n v="2"/>
    <n v="21.47"/>
    <x v="3"/>
    <x v="758"/>
    <n v="4.3499999999999996"/>
  </r>
  <r>
    <x v="770"/>
    <x v="218"/>
    <s v="CUST0083"/>
    <s v="Corporate"/>
    <x v="0"/>
    <s v="Office Supplies"/>
    <x v="0"/>
    <n v="1"/>
    <n v="14.58"/>
    <x v="3"/>
    <x v="759"/>
    <n v="3.45"/>
  </r>
  <r>
    <x v="771"/>
    <x v="219"/>
    <s v="CUST0217"/>
    <s v="Small Business"/>
    <x v="6"/>
    <s v="Technology"/>
    <x v="2"/>
    <n v="4"/>
    <n v="922.68"/>
    <x v="2"/>
    <x v="760"/>
    <n v="257.7"/>
  </r>
  <r>
    <x v="772"/>
    <x v="219"/>
    <s v="CUST0066"/>
    <s v="Small Business"/>
    <x v="8"/>
    <s v="Furniture"/>
    <x v="1"/>
    <n v="1"/>
    <n v="322.01"/>
    <x v="3"/>
    <x v="761"/>
    <n v="48.53"/>
  </r>
  <r>
    <x v="773"/>
    <x v="219"/>
    <s v="CUST0183"/>
    <s v="Consumer"/>
    <x v="10"/>
    <s v="Office Supplies"/>
    <x v="0"/>
    <n v="2"/>
    <n v="9.43"/>
    <x v="3"/>
    <x v="762"/>
    <n v="4.74"/>
  </r>
  <r>
    <x v="774"/>
    <x v="219"/>
    <s v="CUST0237"/>
    <s v="Corporate"/>
    <x v="9"/>
    <s v="Office Supplies"/>
    <x v="3"/>
    <n v="2"/>
    <n v="19.64"/>
    <x v="0"/>
    <x v="763"/>
    <n v="8.36"/>
  </r>
  <r>
    <x v="775"/>
    <x v="220"/>
    <s v="CUST0294"/>
    <s v="Consumer"/>
    <x v="6"/>
    <s v="Technology"/>
    <x v="3"/>
    <n v="4"/>
    <n v="896.05"/>
    <x v="0"/>
    <x v="764"/>
    <n v="471.19"/>
  </r>
  <r>
    <x v="776"/>
    <x v="220"/>
    <s v="CUST0257"/>
    <s v="Corporate"/>
    <x v="4"/>
    <s v="Technology"/>
    <x v="0"/>
    <n v="1"/>
    <n v="192.76"/>
    <x v="3"/>
    <x v="765"/>
    <n v="32.14"/>
  </r>
  <r>
    <x v="777"/>
    <x v="220"/>
    <s v="CUST0208"/>
    <s v="Consumer"/>
    <x v="10"/>
    <s v="Office Supplies"/>
    <x v="0"/>
    <n v="1"/>
    <n v="8.39"/>
    <x v="2"/>
    <x v="766"/>
    <n v="1.57"/>
  </r>
  <r>
    <x v="778"/>
    <x v="221"/>
    <s v="CUST0086"/>
    <s v="Small Business"/>
    <x v="7"/>
    <s v="Technology"/>
    <x v="3"/>
    <n v="2"/>
    <n v="29.26"/>
    <x v="3"/>
    <x v="767"/>
    <n v="14.47"/>
  </r>
  <r>
    <x v="779"/>
    <x v="221"/>
    <s v="CUST0283"/>
    <s v="Corporate"/>
    <x v="11"/>
    <s v="Lifestyle"/>
    <x v="0"/>
    <n v="1"/>
    <n v="23"/>
    <x v="2"/>
    <x v="768"/>
    <n v="1.94"/>
  </r>
  <r>
    <x v="780"/>
    <x v="222"/>
    <s v="CUST0188"/>
    <s v="Consumer"/>
    <x v="1"/>
    <s v="Furniture"/>
    <x v="0"/>
    <n v="5"/>
    <n v="164.42"/>
    <x v="3"/>
    <x v="769"/>
    <n v="163.57"/>
  </r>
  <r>
    <x v="781"/>
    <x v="222"/>
    <s v="CUST0209"/>
    <s v="Small Business"/>
    <x v="3"/>
    <s v="Furniture"/>
    <x v="1"/>
    <n v="5"/>
    <n v="40.79"/>
    <x v="3"/>
    <x v="770"/>
    <n v="25"/>
  </r>
  <r>
    <x v="782"/>
    <x v="222"/>
    <s v="CUST0211"/>
    <s v="Consumer"/>
    <x v="10"/>
    <s v="Office Supplies"/>
    <x v="2"/>
    <n v="1"/>
    <n v="9.73"/>
    <x v="3"/>
    <x v="771"/>
    <n v="2.04"/>
  </r>
  <r>
    <x v="783"/>
    <x v="222"/>
    <s v="CUST0178"/>
    <s v="Small Business"/>
    <x v="0"/>
    <s v="Office Supplies"/>
    <x v="2"/>
    <n v="1"/>
    <n v="13.14"/>
    <x v="3"/>
    <x v="772"/>
    <n v="3.21"/>
  </r>
  <r>
    <x v="784"/>
    <x v="222"/>
    <s v="CUST0090"/>
    <s v="Corporate"/>
    <x v="4"/>
    <s v="Technology"/>
    <x v="3"/>
    <n v="1"/>
    <n v="198.2"/>
    <x v="3"/>
    <x v="773"/>
    <n v="17.309999999999999"/>
  </r>
  <r>
    <x v="785"/>
    <x v="222"/>
    <s v="CUST0134"/>
    <s v="Small Business"/>
    <x v="11"/>
    <s v="Lifestyle"/>
    <x v="3"/>
    <n v="2"/>
    <n v="23.67"/>
    <x v="0"/>
    <x v="774"/>
    <n v="7.9"/>
  </r>
  <r>
    <x v="786"/>
    <x v="222"/>
    <s v="CUST0009"/>
    <s v="Corporate"/>
    <x v="7"/>
    <s v="Technology"/>
    <x v="0"/>
    <n v="5"/>
    <n v="26.75"/>
    <x v="0"/>
    <x v="775"/>
    <n v="14.66"/>
  </r>
  <r>
    <x v="787"/>
    <x v="223"/>
    <s v="CUST0236"/>
    <s v="Consumer"/>
    <x v="11"/>
    <s v="Lifestyle"/>
    <x v="3"/>
    <n v="1"/>
    <n v="22.94"/>
    <x v="2"/>
    <x v="776"/>
    <n v="5.6"/>
  </r>
  <r>
    <x v="788"/>
    <x v="223"/>
    <s v="CUST0106"/>
    <s v="Consumer"/>
    <x v="0"/>
    <s v="Office Supplies"/>
    <x v="1"/>
    <n v="2"/>
    <n v="13.89"/>
    <x v="3"/>
    <x v="777"/>
    <n v="3.92"/>
  </r>
  <r>
    <x v="789"/>
    <x v="223"/>
    <s v="CUST0082"/>
    <s v="Consumer"/>
    <x v="11"/>
    <s v="Lifestyle"/>
    <x v="1"/>
    <n v="1"/>
    <n v="21.01"/>
    <x v="1"/>
    <x v="778"/>
    <n v="1.48"/>
  </r>
  <r>
    <x v="790"/>
    <x v="223"/>
    <s v="CUST0040"/>
    <s v="Consumer"/>
    <x v="0"/>
    <s v="Office Supplies"/>
    <x v="0"/>
    <n v="2"/>
    <n v="14.32"/>
    <x v="3"/>
    <x v="779"/>
    <n v="4.37"/>
  </r>
  <r>
    <x v="791"/>
    <x v="223"/>
    <s v="CUST0147"/>
    <s v="Corporate"/>
    <x v="8"/>
    <s v="Furniture"/>
    <x v="2"/>
    <n v="4"/>
    <n v="320.11"/>
    <x v="2"/>
    <x v="780"/>
    <n v="239.03"/>
  </r>
  <r>
    <x v="792"/>
    <x v="223"/>
    <s v="CUST0244"/>
    <s v="Consumer"/>
    <x v="4"/>
    <s v="Technology"/>
    <x v="0"/>
    <n v="4"/>
    <n v="205.27"/>
    <x v="2"/>
    <x v="781"/>
    <n v="156.88"/>
  </r>
  <r>
    <x v="793"/>
    <x v="224"/>
    <s v="CUST0283"/>
    <s v="Small Business"/>
    <x v="5"/>
    <s v="Lifestyle"/>
    <x v="1"/>
    <n v="4"/>
    <n v="54.19"/>
    <x v="1"/>
    <x v="782"/>
    <n v="17.149999999999999"/>
  </r>
  <r>
    <x v="794"/>
    <x v="224"/>
    <s v="CUST0073"/>
    <s v="Small Business"/>
    <x v="4"/>
    <s v="Technology"/>
    <x v="3"/>
    <n v="4"/>
    <n v="195.5"/>
    <x v="4"/>
    <x v="783"/>
    <n v="100.37"/>
  </r>
  <r>
    <x v="795"/>
    <x v="224"/>
    <s v="CUST0006"/>
    <s v="Corporate"/>
    <x v="6"/>
    <s v="Technology"/>
    <x v="0"/>
    <n v="2"/>
    <n v="963.13"/>
    <x v="1"/>
    <x v="784"/>
    <n v="113.59"/>
  </r>
  <r>
    <x v="796"/>
    <x v="224"/>
    <s v="CUST0134"/>
    <s v="Corporate"/>
    <x v="1"/>
    <s v="Furniture"/>
    <x v="0"/>
    <n v="2"/>
    <n v="177.47"/>
    <x v="2"/>
    <x v="785"/>
    <n v="72.209999999999994"/>
  </r>
  <r>
    <x v="797"/>
    <x v="225"/>
    <s v="CUST0093"/>
    <s v="Consumer"/>
    <x v="11"/>
    <s v="Lifestyle"/>
    <x v="1"/>
    <n v="2"/>
    <n v="20.100000000000001"/>
    <x v="0"/>
    <x v="786"/>
    <n v="6.23"/>
  </r>
  <r>
    <x v="798"/>
    <x v="225"/>
    <s v="CUST0251"/>
    <s v="Corporate"/>
    <x v="9"/>
    <s v="Office Supplies"/>
    <x v="0"/>
    <n v="1"/>
    <n v="19.45"/>
    <x v="2"/>
    <x v="787"/>
    <n v="1.41"/>
  </r>
  <r>
    <x v="799"/>
    <x v="226"/>
    <s v="CUST0089"/>
    <s v="Corporate"/>
    <x v="11"/>
    <s v="Lifestyle"/>
    <x v="0"/>
    <n v="3"/>
    <n v="23.39"/>
    <x v="3"/>
    <x v="788"/>
    <n v="8.76"/>
  </r>
  <r>
    <x v="800"/>
    <x v="226"/>
    <s v="CUST0092"/>
    <s v="Consumer"/>
    <x v="1"/>
    <s v="Furniture"/>
    <x v="2"/>
    <n v="1"/>
    <n v="178.48"/>
    <x v="3"/>
    <x v="789"/>
    <n v="41.39"/>
  </r>
  <r>
    <x v="801"/>
    <x v="226"/>
    <s v="CUST0235"/>
    <s v="Consumer"/>
    <x v="2"/>
    <s v="Technology"/>
    <x v="0"/>
    <n v="4"/>
    <n v="75.78"/>
    <x v="2"/>
    <x v="790"/>
    <n v="32.57"/>
  </r>
  <r>
    <x v="802"/>
    <x v="226"/>
    <s v="CUST0192"/>
    <s v="Consumer"/>
    <x v="6"/>
    <s v="Technology"/>
    <x v="3"/>
    <n v="2"/>
    <n v="886.82"/>
    <x v="3"/>
    <x v="791"/>
    <n v="305.98"/>
  </r>
  <r>
    <x v="803"/>
    <x v="226"/>
    <s v="CUST0018"/>
    <s v="Corporate"/>
    <x v="8"/>
    <s v="Furniture"/>
    <x v="0"/>
    <n v="1"/>
    <n v="301.35000000000002"/>
    <x v="2"/>
    <x v="792"/>
    <n v="30.83"/>
  </r>
  <r>
    <x v="804"/>
    <x v="226"/>
    <s v="CUST0198"/>
    <s v="Consumer"/>
    <x v="6"/>
    <s v="Technology"/>
    <x v="1"/>
    <n v="5"/>
    <n v="885.21"/>
    <x v="2"/>
    <x v="793"/>
    <n v="453.28"/>
  </r>
  <r>
    <x v="805"/>
    <x v="227"/>
    <s v="CUST0046"/>
    <s v="Consumer"/>
    <x v="1"/>
    <s v="Furniture"/>
    <x v="1"/>
    <n v="5"/>
    <n v="179.49"/>
    <x v="2"/>
    <x v="794"/>
    <n v="152.44"/>
  </r>
  <r>
    <x v="806"/>
    <x v="227"/>
    <s v="CUST0114"/>
    <s v="Corporate"/>
    <x v="2"/>
    <s v="Technology"/>
    <x v="0"/>
    <n v="2"/>
    <n v="72.61"/>
    <x v="0"/>
    <x v="795"/>
    <n v="14.34"/>
  </r>
  <r>
    <x v="807"/>
    <x v="227"/>
    <s v="CUST0095"/>
    <s v="Consumer"/>
    <x v="11"/>
    <s v="Lifestyle"/>
    <x v="1"/>
    <n v="1"/>
    <n v="22.05"/>
    <x v="4"/>
    <x v="796"/>
    <n v="3.25"/>
  </r>
  <r>
    <x v="808"/>
    <x v="227"/>
    <s v="CUST0206"/>
    <s v="Consumer"/>
    <x v="9"/>
    <s v="Office Supplies"/>
    <x v="0"/>
    <n v="3"/>
    <n v="16.64"/>
    <x v="2"/>
    <x v="797"/>
    <n v="8.1199999999999992"/>
  </r>
  <r>
    <x v="809"/>
    <x v="227"/>
    <s v="CUST0015"/>
    <s v="Consumer"/>
    <x v="9"/>
    <s v="Office Supplies"/>
    <x v="3"/>
    <n v="2"/>
    <n v="16.68"/>
    <x v="2"/>
    <x v="798"/>
    <n v="8.25"/>
  </r>
  <r>
    <x v="810"/>
    <x v="228"/>
    <s v="CUST0131"/>
    <s v="Consumer"/>
    <x v="5"/>
    <s v="Lifestyle"/>
    <x v="0"/>
    <n v="1"/>
    <n v="58.03"/>
    <x v="3"/>
    <x v="799"/>
    <n v="11.27"/>
  </r>
  <r>
    <x v="811"/>
    <x v="229"/>
    <s v="CUST0107"/>
    <s v="Consumer"/>
    <x v="8"/>
    <s v="Furniture"/>
    <x v="3"/>
    <n v="2"/>
    <n v="303.91000000000003"/>
    <x v="1"/>
    <x v="800"/>
    <n v="112.27"/>
  </r>
  <r>
    <x v="812"/>
    <x v="229"/>
    <s v="CUST0018"/>
    <s v="Consumer"/>
    <x v="9"/>
    <s v="Office Supplies"/>
    <x v="1"/>
    <n v="2"/>
    <n v="19.48"/>
    <x v="3"/>
    <x v="801"/>
    <n v="4.4800000000000004"/>
  </r>
  <r>
    <x v="813"/>
    <x v="229"/>
    <s v="CUST0246"/>
    <s v="Small Business"/>
    <x v="2"/>
    <s v="Technology"/>
    <x v="0"/>
    <n v="2"/>
    <n v="71.89"/>
    <x v="2"/>
    <x v="802"/>
    <n v="19.63"/>
  </r>
  <r>
    <x v="814"/>
    <x v="230"/>
    <s v="CUST0127"/>
    <s v="Small Business"/>
    <x v="0"/>
    <s v="Office Supplies"/>
    <x v="3"/>
    <n v="3"/>
    <n v="13.54"/>
    <x v="2"/>
    <x v="803"/>
    <n v="4.79"/>
  </r>
  <r>
    <x v="815"/>
    <x v="230"/>
    <s v="CUST0080"/>
    <s v="Corporate"/>
    <x v="7"/>
    <s v="Technology"/>
    <x v="2"/>
    <n v="1"/>
    <n v="30.49"/>
    <x v="2"/>
    <x v="804"/>
    <n v="6.64"/>
  </r>
  <r>
    <x v="816"/>
    <x v="230"/>
    <s v="CUST0076"/>
    <s v="Small Business"/>
    <x v="2"/>
    <s v="Technology"/>
    <x v="1"/>
    <n v="2"/>
    <n v="69.540000000000006"/>
    <x v="3"/>
    <x v="805"/>
    <n v="35.82"/>
  </r>
  <r>
    <x v="817"/>
    <x v="230"/>
    <s v="CUST0085"/>
    <s v="Small Business"/>
    <x v="8"/>
    <s v="Furniture"/>
    <x v="3"/>
    <n v="2"/>
    <n v="327.23"/>
    <x v="2"/>
    <x v="806"/>
    <n v="73.48"/>
  </r>
  <r>
    <x v="818"/>
    <x v="230"/>
    <s v="CUST0028"/>
    <s v="Corporate"/>
    <x v="10"/>
    <s v="Office Supplies"/>
    <x v="2"/>
    <n v="2"/>
    <n v="8.34"/>
    <x v="2"/>
    <x v="807"/>
    <n v="1.93"/>
  </r>
  <r>
    <x v="819"/>
    <x v="231"/>
    <s v="CUST0282"/>
    <s v="Corporate"/>
    <x v="6"/>
    <s v="Technology"/>
    <x v="1"/>
    <n v="1"/>
    <n v="877.27"/>
    <x v="0"/>
    <x v="808"/>
    <n v="102.88"/>
  </r>
  <r>
    <x v="820"/>
    <x v="231"/>
    <s v="CUST0150"/>
    <s v="Consumer"/>
    <x v="2"/>
    <s v="Technology"/>
    <x v="3"/>
    <n v="4"/>
    <n v="68.67"/>
    <x v="3"/>
    <x v="809"/>
    <n v="65.27"/>
  </r>
  <r>
    <x v="821"/>
    <x v="231"/>
    <s v="CUST0256"/>
    <s v="Corporate"/>
    <x v="6"/>
    <s v="Technology"/>
    <x v="3"/>
    <n v="2"/>
    <n v="934.42"/>
    <x v="3"/>
    <x v="810"/>
    <n v="468.44"/>
  </r>
  <r>
    <x v="822"/>
    <x v="231"/>
    <s v="CUST0075"/>
    <s v="Small Business"/>
    <x v="6"/>
    <s v="Technology"/>
    <x v="0"/>
    <n v="2"/>
    <n v="1013.24"/>
    <x v="1"/>
    <x v="811"/>
    <n v="190.43"/>
  </r>
  <r>
    <x v="823"/>
    <x v="231"/>
    <s v="CUST0213"/>
    <s v="Small Business"/>
    <x v="8"/>
    <s v="Furniture"/>
    <x v="0"/>
    <n v="2"/>
    <n v="327.13"/>
    <x v="1"/>
    <x v="812"/>
    <n v="36.96"/>
  </r>
  <r>
    <x v="824"/>
    <x v="231"/>
    <s v="CUST0094"/>
    <s v="Corporate"/>
    <x v="7"/>
    <s v="Technology"/>
    <x v="0"/>
    <n v="4"/>
    <n v="29.17"/>
    <x v="2"/>
    <x v="813"/>
    <n v="18.02"/>
  </r>
  <r>
    <x v="825"/>
    <x v="231"/>
    <s v="CUST0143"/>
    <s v="Consumer"/>
    <x v="9"/>
    <s v="Office Supplies"/>
    <x v="3"/>
    <n v="2"/>
    <n v="19.11"/>
    <x v="3"/>
    <x v="814"/>
    <n v="9.18"/>
  </r>
  <r>
    <x v="826"/>
    <x v="232"/>
    <s v="CUST0134"/>
    <s v="Consumer"/>
    <x v="2"/>
    <s v="Technology"/>
    <x v="0"/>
    <n v="5"/>
    <n v="73.47"/>
    <x v="3"/>
    <x v="815"/>
    <n v="100.61"/>
  </r>
  <r>
    <x v="827"/>
    <x v="232"/>
    <s v="CUST0099"/>
    <s v="Consumer"/>
    <x v="6"/>
    <s v="Technology"/>
    <x v="0"/>
    <n v="1"/>
    <n v="939.38"/>
    <x v="4"/>
    <x v="816"/>
    <n v="97.82"/>
  </r>
  <r>
    <x v="828"/>
    <x v="232"/>
    <s v="CUST0185"/>
    <s v="Small Business"/>
    <x v="7"/>
    <s v="Technology"/>
    <x v="2"/>
    <n v="5"/>
    <n v="29.5"/>
    <x v="2"/>
    <x v="817"/>
    <n v="20.92"/>
  </r>
  <r>
    <x v="829"/>
    <x v="233"/>
    <s v="CUST0021"/>
    <s v="Corporate"/>
    <x v="11"/>
    <s v="Lifestyle"/>
    <x v="2"/>
    <n v="4"/>
    <n v="21.64"/>
    <x v="3"/>
    <x v="818"/>
    <n v="11.43"/>
  </r>
  <r>
    <x v="830"/>
    <x v="233"/>
    <s v="CUST0197"/>
    <s v="Corporate"/>
    <x v="2"/>
    <s v="Technology"/>
    <x v="2"/>
    <n v="2"/>
    <n v="77.349999999999994"/>
    <x v="3"/>
    <x v="819"/>
    <n v="37.81"/>
  </r>
  <r>
    <x v="831"/>
    <x v="233"/>
    <s v="CUST0138"/>
    <s v="Consumer"/>
    <x v="4"/>
    <s v="Technology"/>
    <x v="0"/>
    <n v="1"/>
    <n v="189"/>
    <x v="0"/>
    <x v="820"/>
    <n v="23.89"/>
  </r>
  <r>
    <x v="832"/>
    <x v="234"/>
    <s v="CUST0135"/>
    <s v="Consumer"/>
    <x v="11"/>
    <s v="Lifestyle"/>
    <x v="0"/>
    <n v="3"/>
    <n v="22.36"/>
    <x v="0"/>
    <x v="821"/>
    <n v="12.27"/>
  </r>
  <r>
    <x v="833"/>
    <x v="234"/>
    <s v="CUST0143"/>
    <s v="Small Business"/>
    <x v="10"/>
    <s v="Office Supplies"/>
    <x v="0"/>
    <n v="1"/>
    <n v="9.67"/>
    <x v="1"/>
    <x v="822"/>
    <n v="0.59"/>
  </r>
  <r>
    <x v="834"/>
    <x v="234"/>
    <s v="CUST0120"/>
    <s v="Consumer"/>
    <x v="2"/>
    <s v="Technology"/>
    <x v="1"/>
    <n v="1"/>
    <n v="81.87"/>
    <x v="3"/>
    <x v="823"/>
    <n v="20.54"/>
  </r>
  <r>
    <x v="835"/>
    <x v="234"/>
    <s v="CUST0210"/>
    <s v="Corporate"/>
    <x v="0"/>
    <s v="Office Supplies"/>
    <x v="0"/>
    <n v="1"/>
    <n v="14.3"/>
    <x v="4"/>
    <x v="824"/>
    <n v="1.26"/>
  </r>
  <r>
    <x v="836"/>
    <x v="235"/>
    <s v="CUST0213"/>
    <s v="Consumer"/>
    <x v="7"/>
    <s v="Technology"/>
    <x v="1"/>
    <n v="1"/>
    <n v="28.81"/>
    <x v="3"/>
    <x v="825"/>
    <n v="4.71"/>
  </r>
  <r>
    <x v="837"/>
    <x v="235"/>
    <s v="CUST0245"/>
    <s v="Consumer"/>
    <x v="5"/>
    <s v="Lifestyle"/>
    <x v="0"/>
    <n v="3"/>
    <n v="51.68"/>
    <x v="0"/>
    <x v="826"/>
    <n v="21.33"/>
  </r>
  <r>
    <x v="838"/>
    <x v="236"/>
    <s v="CUST0014"/>
    <s v="Corporate"/>
    <x v="3"/>
    <s v="Furniture"/>
    <x v="1"/>
    <n v="2"/>
    <n v="41.84"/>
    <x v="0"/>
    <x v="827"/>
    <n v="5.32"/>
  </r>
  <r>
    <x v="839"/>
    <x v="236"/>
    <s v="CUST0196"/>
    <s v="Consumer"/>
    <x v="3"/>
    <s v="Furniture"/>
    <x v="0"/>
    <n v="1"/>
    <n v="44.97"/>
    <x v="4"/>
    <x v="381"/>
    <n v="4.7300000000000004"/>
  </r>
  <r>
    <x v="840"/>
    <x v="236"/>
    <s v="CUST0024"/>
    <s v="Consumer"/>
    <x v="5"/>
    <s v="Lifestyle"/>
    <x v="2"/>
    <n v="1"/>
    <n v="50.26"/>
    <x v="1"/>
    <x v="828"/>
    <n v="10.02"/>
  </r>
  <r>
    <x v="841"/>
    <x v="236"/>
    <s v="CUST0245"/>
    <s v="Consumer"/>
    <x v="4"/>
    <s v="Technology"/>
    <x v="0"/>
    <n v="2"/>
    <n v="190.65"/>
    <x v="1"/>
    <x v="829"/>
    <n v="23.25"/>
  </r>
  <r>
    <x v="842"/>
    <x v="237"/>
    <s v="CUST0147"/>
    <s v="Consumer"/>
    <x v="3"/>
    <s v="Furniture"/>
    <x v="1"/>
    <n v="1"/>
    <n v="43.52"/>
    <x v="0"/>
    <x v="830"/>
    <n v="8.14"/>
  </r>
  <r>
    <x v="843"/>
    <x v="238"/>
    <s v="CUST0051"/>
    <s v="Corporate"/>
    <x v="5"/>
    <s v="Lifestyle"/>
    <x v="3"/>
    <n v="2"/>
    <n v="60.21"/>
    <x v="3"/>
    <x v="831"/>
    <n v="15.24"/>
  </r>
  <r>
    <x v="844"/>
    <x v="238"/>
    <s v="CUST0128"/>
    <s v="Corporate"/>
    <x v="5"/>
    <s v="Lifestyle"/>
    <x v="2"/>
    <n v="2"/>
    <n v="58.61"/>
    <x v="3"/>
    <x v="832"/>
    <n v="27.86"/>
  </r>
  <r>
    <x v="845"/>
    <x v="238"/>
    <s v="CUST0085"/>
    <s v="Small Business"/>
    <x v="10"/>
    <s v="Office Supplies"/>
    <x v="3"/>
    <n v="1"/>
    <n v="9.2899999999999991"/>
    <x v="3"/>
    <x v="833"/>
    <n v="1.85"/>
  </r>
  <r>
    <x v="846"/>
    <x v="239"/>
    <s v="CUST0057"/>
    <s v="Consumer"/>
    <x v="8"/>
    <s v="Furniture"/>
    <x v="0"/>
    <n v="2"/>
    <n v="315.77999999999997"/>
    <x v="2"/>
    <x v="834"/>
    <n v="62.39"/>
  </r>
  <r>
    <x v="847"/>
    <x v="239"/>
    <s v="CUST0015"/>
    <s v="Consumer"/>
    <x v="0"/>
    <s v="Office Supplies"/>
    <x v="3"/>
    <n v="1"/>
    <n v="14.33"/>
    <x v="3"/>
    <x v="835"/>
    <n v="3.9"/>
  </r>
  <r>
    <x v="848"/>
    <x v="240"/>
    <s v="CUST0141"/>
    <s v="Small Business"/>
    <x v="11"/>
    <s v="Lifestyle"/>
    <x v="3"/>
    <n v="1"/>
    <n v="23.36"/>
    <x v="2"/>
    <x v="836"/>
    <n v="2.69"/>
  </r>
  <r>
    <x v="849"/>
    <x v="240"/>
    <s v="CUST0245"/>
    <s v="Consumer"/>
    <x v="10"/>
    <s v="Office Supplies"/>
    <x v="2"/>
    <n v="1"/>
    <n v="8.61"/>
    <x v="3"/>
    <x v="523"/>
    <n v="2.41"/>
  </r>
  <r>
    <x v="850"/>
    <x v="241"/>
    <s v="CUST0134"/>
    <s v="Consumer"/>
    <x v="5"/>
    <s v="Lifestyle"/>
    <x v="0"/>
    <n v="1"/>
    <n v="51.96"/>
    <x v="0"/>
    <x v="837"/>
    <n v="3"/>
  </r>
  <r>
    <x v="851"/>
    <x v="241"/>
    <s v="CUST0025"/>
    <s v="Consumer"/>
    <x v="9"/>
    <s v="Office Supplies"/>
    <x v="2"/>
    <n v="4"/>
    <n v="17.95"/>
    <x v="1"/>
    <x v="838"/>
    <n v="9.86"/>
  </r>
  <r>
    <x v="852"/>
    <x v="241"/>
    <s v="CUST0282"/>
    <s v="Small Business"/>
    <x v="9"/>
    <s v="Office Supplies"/>
    <x v="3"/>
    <n v="5"/>
    <n v="19.52"/>
    <x v="2"/>
    <x v="839"/>
    <n v="16.64"/>
  </r>
  <r>
    <x v="853"/>
    <x v="241"/>
    <s v="CUST0166"/>
    <s v="Consumer"/>
    <x v="2"/>
    <s v="Technology"/>
    <x v="0"/>
    <n v="3"/>
    <n v="79.83"/>
    <x v="2"/>
    <x v="840"/>
    <n v="54.83"/>
  </r>
  <r>
    <x v="854"/>
    <x v="242"/>
    <s v="CUST0061"/>
    <s v="Consumer"/>
    <x v="9"/>
    <s v="Office Supplies"/>
    <x v="2"/>
    <n v="2"/>
    <n v="18.5"/>
    <x v="2"/>
    <x v="841"/>
    <n v="3.34"/>
  </r>
  <r>
    <x v="855"/>
    <x v="242"/>
    <s v="CUST0238"/>
    <s v="Consumer"/>
    <x v="0"/>
    <s v="Office Supplies"/>
    <x v="3"/>
    <n v="2"/>
    <n v="15.15"/>
    <x v="0"/>
    <x v="842"/>
    <n v="4.12"/>
  </r>
  <r>
    <x v="856"/>
    <x v="242"/>
    <s v="CUST0149"/>
    <s v="Small Business"/>
    <x v="1"/>
    <s v="Furniture"/>
    <x v="2"/>
    <n v="1"/>
    <n v="193.32"/>
    <x v="1"/>
    <x v="843"/>
    <n v="24.31"/>
  </r>
  <r>
    <x v="857"/>
    <x v="243"/>
    <s v="CUST0095"/>
    <s v="Consumer"/>
    <x v="4"/>
    <s v="Technology"/>
    <x v="3"/>
    <n v="1"/>
    <n v="208.29"/>
    <x v="3"/>
    <x v="844"/>
    <n v="48"/>
  </r>
  <r>
    <x v="858"/>
    <x v="243"/>
    <s v="CUST0144"/>
    <s v="Small Business"/>
    <x v="5"/>
    <s v="Lifestyle"/>
    <x v="3"/>
    <n v="1"/>
    <n v="49.61"/>
    <x v="2"/>
    <x v="845"/>
    <n v="11.25"/>
  </r>
  <r>
    <x v="859"/>
    <x v="243"/>
    <s v="CUST0060"/>
    <s v="Consumer"/>
    <x v="9"/>
    <s v="Office Supplies"/>
    <x v="2"/>
    <n v="5"/>
    <n v="18.04"/>
    <x v="0"/>
    <x v="846"/>
    <n v="15.61"/>
  </r>
  <r>
    <x v="860"/>
    <x v="243"/>
    <s v="CUST0276"/>
    <s v="Consumer"/>
    <x v="9"/>
    <s v="Office Supplies"/>
    <x v="3"/>
    <n v="3"/>
    <n v="17.7"/>
    <x v="0"/>
    <x v="847"/>
    <n v="2.82"/>
  </r>
  <r>
    <x v="861"/>
    <x v="243"/>
    <s v="CUST0213"/>
    <s v="Corporate"/>
    <x v="6"/>
    <s v="Technology"/>
    <x v="2"/>
    <n v="2"/>
    <n v="858.66"/>
    <x v="3"/>
    <x v="848"/>
    <n v="420.81"/>
  </r>
  <r>
    <x v="862"/>
    <x v="244"/>
    <s v="CUST0197"/>
    <s v="Small Business"/>
    <x v="11"/>
    <s v="Lifestyle"/>
    <x v="3"/>
    <n v="1"/>
    <n v="19.88"/>
    <x v="2"/>
    <x v="849"/>
    <n v="2.2799999999999998"/>
  </r>
  <r>
    <x v="863"/>
    <x v="244"/>
    <s v="CUST0207"/>
    <s v="Small Business"/>
    <x v="11"/>
    <s v="Lifestyle"/>
    <x v="0"/>
    <n v="5"/>
    <n v="23.28"/>
    <x v="3"/>
    <x v="850"/>
    <n v="23.05"/>
  </r>
  <r>
    <x v="864"/>
    <x v="244"/>
    <s v="CUST0262"/>
    <s v="Consumer"/>
    <x v="8"/>
    <s v="Furniture"/>
    <x v="3"/>
    <n v="1"/>
    <n v="330.07"/>
    <x v="2"/>
    <x v="851"/>
    <n v="42.6"/>
  </r>
  <r>
    <x v="865"/>
    <x v="245"/>
    <s v="CUST0200"/>
    <s v="Consumer"/>
    <x v="0"/>
    <s v="Office Supplies"/>
    <x v="3"/>
    <n v="1"/>
    <n v="13.43"/>
    <x v="1"/>
    <x v="852"/>
    <n v="1.89"/>
  </r>
  <r>
    <x v="866"/>
    <x v="245"/>
    <s v="CUST0018"/>
    <s v="Corporate"/>
    <x v="9"/>
    <s v="Office Supplies"/>
    <x v="0"/>
    <n v="3"/>
    <n v="16.91"/>
    <x v="0"/>
    <x v="853"/>
    <n v="6.94"/>
  </r>
  <r>
    <x v="867"/>
    <x v="245"/>
    <s v="CUST0144"/>
    <s v="Corporate"/>
    <x v="9"/>
    <s v="Office Supplies"/>
    <x v="1"/>
    <n v="1"/>
    <n v="16.79"/>
    <x v="1"/>
    <x v="556"/>
    <n v="1.4"/>
  </r>
  <r>
    <x v="868"/>
    <x v="245"/>
    <s v="CUST0172"/>
    <s v="Corporate"/>
    <x v="10"/>
    <s v="Office Supplies"/>
    <x v="3"/>
    <n v="2"/>
    <n v="8.16"/>
    <x v="2"/>
    <x v="854"/>
    <n v="2.4700000000000002"/>
  </r>
  <r>
    <x v="869"/>
    <x v="245"/>
    <s v="CUST0074"/>
    <s v="Consumer"/>
    <x v="8"/>
    <s v="Furniture"/>
    <x v="3"/>
    <n v="1"/>
    <n v="340.45"/>
    <x v="2"/>
    <x v="855"/>
    <n v="40.479999999999997"/>
  </r>
  <r>
    <x v="870"/>
    <x v="246"/>
    <s v="CUST0202"/>
    <s v="Corporate"/>
    <x v="1"/>
    <s v="Furniture"/>
    <x v="0"/>
    <n v="2"/>
    <n v="196.14"/>
    <x v="3"/>
    <x v="856"/>
    <n v="91.29"/>
  </r>
  <r>
    <x v="871"/>
    <x v="246"/>
    <s v="CUST0092"/>
    <s v="Consumer"/>
    <x v="6"/>
    <s v="Technology"/>
    <x v="2"/>
    <n v="1"/>
    <n v="883.77"/>
    <x v="2"/>
    <x v="857"/>
    <n v="190.49"/>
  </r>
  <r>
    <x v="872"/>
    <x v="246"/>
    <s v="CUST0170"/>
    <s v="Consumer"/>
    <x v="11"/>
    <s v="Lifestyle"/>
    <x v="2"/>
    <n v="1"/>
    <n v="22.38"/>
    <x v="3"/>
    <x v="858"/>
    <n v="3.83"/>
  </r>
  <r>
    <x v="873"/>
    <x v="247"/>
    <s v="CUST0283"/>
    <s v="Consumer"/>
    <x v="10"/>
    <s v="Office Supplies"/>
    <x v="2"/>
    <n v="1"/>
    <n v="8.82"/>
    <x v="2"/>
    <x v="859"/>
    <n v="2.21"/>
  </r>
  <r>
    <x v="874"/>
    <x v="247"/>
    <s v="CUST0281"/>
    <s v="Small Business"/>
    <x v="2"/>
    <s v="Technology"/>
    <x v="0"/>
    <n v="2"/>
    <n v="70.95"/>
    <x v="1"/>
    <x v="860"/>
    <n v="11.99"/>
  </r>
  <r>
    <x v="875"/>
    <x v="247"/>
    <s v="CUST0298"/>
    <s v="Consumer"/>
    <x v="4"/>
    <s v="Technology"/>
    <x v="2"/>
    <n v="5"/>
    <n v="227.51"/>
    <x v="2"/>
    <x v="861"/>
    <n v="225.25"/>
  </r>
  <r>
    <x v="876"/>
    <x v="247"/>
    <s v="CUST0258"/>
    <s v="Consumer"/>
    <x v="4"/>
    <s v="Technology"/>
    <x v="1"/>
    <n v="1"/>
    <n v="218.41"/>
    <x v="1"/>
    <x v="862"/>
    <n v="28.47"/>
  </r>
  <r>
    <x v="877"/>
    <x v="248"/>
    <s v="CUST0149"/>
    <s v="Consumer"/>
    <x v="2"/>
    <s v="Technology"/>
    <x v="0"/>
    <n v="2"/>
    <n v="78.92"/>
    <x v="4"/>
    <x v="863"/>
    <n v="16.989999999999998"/>
  </r>
  <r>
    <x v="878"/>
    <x v="249"/>
    <s v="CUST0066"/>
    <s v="Corporate"/>
    <x v="9"/>
    <s v="Office Supplies"/>
    <x v="1"/>
    <n v="3"/>
    <n v="16.899999999999999"/>
    <x v="2"/>
    <x v="864"/>
    <n v="6.05"/>
  </r>
  <r>
    <x v="879"/>
    <x v="249"/>
    <s v="CUST0252"/>
    <s v="Consumer"/>
    <x v="10"/>
    <s v="Office Supplies"/>
    <x v="3"/>
    <n v="3"/>
    <n v="9.39"/>
    <x v="4"/>
    <x v="865"/>
    <n v="5.13"/>
  </r>
  <r>
    <x v="880"/>
    <x v="249"/>
    <s v="CUST0178"/>
    <s v="Consumer"/>
    <x v="3"/>
    <s v="Furniture"/>
    <x v="2"/>
    <n v="1"/>
    <n v="41.23"/>
    <x v="0"/>
    <x v="866"/>
    <n v="2.5099999999999998"/>
  </r>
  <r>
    <x v="881"/>
    <x v="249"/>
    <s v="CUST0058"/>
    <s v="Consumer"/>
    <x v="6"/>
    <s v="Technology"/>
    <x v="1"/>
    <n v="1"/>
    <n v="1010.9"/>
    <x v="1"/>
    <x v="867"/>
    <n v="179.08"/>
  </r>
  <r>
    <x v="882"/>
    <x v="250"/>
    <s v="CUST0238"/>
    <s v="Consumer"/>
    <x v="7"/>
    <s v="Technology"/>
    <x v="3"/>
    <n v="1"/>
    <n v="29.7"/>
    <x v="0"/>
    <x v="868"/>
    <n v="6.29"/>
  </r>
  <r>
    <x v="883"/>
    <x v="250"/>
    <s v="CUST0191"/>
    <s v="Small Business"/>
    <x v="8"/>
    <s v="Furniture"/>
    <x v="0"/>
    <n v="2"/>
    <n v="299.39"/>
    <x v="2"/>
    <x v="869"/>
    <n v="100.92"/>
  </r>
  <r>
    <x v="884"/>
    <x v="251"/>
    <s v="CUST0092"/>
    <s v="Consumer"/>
    <x v="5"/>
    <s v="Lifestyle"/>
    <x v="1"/>
    <n v="2"/>
    <n v="50.5"/>
    <x v="0"/>
    <x v="870"/>
    <n v="14.59"/>
  </r>
  <r>
    <x v="885"/>
    <x v="251"/>
    <s v="CUST0193"/>
    <s v="Consumer"/>
    <x v="9"/>
    <s v="Office Supplies"/>
    <x v="0"/>
    <n v="2"/>
    <n v="17.47"/>
    <x v="3"/>
    <x v="871"/>
    <n v="7.72"/>
  </r>
  <r>
    <x v="886"/>
    <x v="251"/>
    <s v="CUST0156"/>
    <s v="Small Business"/>
    <x v="10"/>
    <s v="Office Supplies"/>
    <x v="3"/>
    <n v="1"/>
    <n v="9.8699999999999992"/>
    <x v="0"/>
    <x v="872"/>
    <n v="0.98"/>
  </r>
  <r>
    <x v="887"/>
    <x v="251"/>
    <s v="CUST0129"/>
    <s v="Consumer"/>
    <x v="0"/>
    <s v="Office Supplies"/>
    <x v="0"/>
    <n v="3"/>
    <n v="14.39"/>
    <x v="3"/>
    <x v="873"/>
    <n v="11.03"/>
  </r>
  <r>
    <x v="888"/>
    <x v="251"/>
    <s v="CUST0182"/>
    <s v="Small Business"/>
    <x v="8"/>
    <s v="Furniture"/>
    <x v="2"/>
    <n v="2"/>
    <n v="300.77999999999997"/>
    <x v="1"/>
    <x v="874"/>
    <n v="124.03"/>
  </r>
  <r>
    <x v="889"/>
    <x v="252"/>
    <s v="CUST0040"/>
    <s v="Corporate"/>
    <x v="8"/>
    <s v="Furniture"/>
    <x v="2"/>
    <n v="2"/>
    <n v="338.05"/>
    <x v="0"/>
    <x v="875"/>
    <n v="98.44"/>
  </r>
  <r>
    <x v="890"/>
    <x v="252"/>
    <s v="CUST0117"/>
    <s v="Corporate"/>
    <x v="2"/>
    <s v="Technology"/>
    <x v="3"/>
    <n v="3"/>
    <n v="75.64"/>
    <x v="2"/>
    <x v="876"/>
    <n v="55.28"/>
  </r>
  <r>
    <x v="891"/>
    <x v="252"/>
    <s v="CUST0199"/>
    <s v="Consumer"/>
    <x v="2"/>
    <s v="Technology"/>
    <x v="2"/>
    <n v="1"/>
    <n v="72.849999999999994"/>
    <x v="2"/>
    <x v="877"/>
    <n v="17.62"/>
  </r>
  <r>
    <x v="892"/>
    <x v="253"/>
    <s v="CUST0081"/>
    <s v="Consumer"/>
    <x v="3"/>
    <s v="Furniture"/>
    <x v="1"/>
    <n v="1"/>
    <n v="45.95"/>
    <x v="0"/>
    <x v="878"/>
    <n v="8.1300000000000008"/>
  </r>
  <r>
    <x v="893"/>
    <x v="253"/>
    <s v="CUST0117"/>
    <s v="Consumer"/>
    <x v="0"/>
    <s v="Office Supplies"/>
    <x v="0"/>
    <n v="2"/>
    <n v="12.61"/>
    <x v="2"/>
    <x v="879"/>
    <n v="2.89"/>
  </r>
  <r>
    <x v="894"/>
    <x v="253"/>
    <s v="CUST0278"/>
    <s v="Small Business"/>
    <x v="0"/>
    <s v="Office Supplies"/>
    <x v="2"/>
    <n v="2"/>
    <n v="14.42"/>
    <x v="3"/>
    <x v="880"/>
    <n v="2.7"/>
  </r>
  <r>
    <x v="895"/>
    <x v="253"/>
    <s v="CUST0011"/>
    <s v="Corporate"/>
    <x v="1"/>
    <s v="Furniture"/>
    <x v="1"/>
    <n v="1"/>
    <n v="192.36"/>
    <x v="2"/>
    <x v="881"/>
    <n v="30.72"/>
  </r>
  <r>
    <x v="896"/>
    <x v="253"/>
    <s v="CUST0291"/>
    <s v="Consumer"/>
    <x v="8"/>
    <s v="Furniture"/>
    <x v="3"/>
    <n v="1"/>
    <n v="318.87"/>
    <x v="4"/>
    <x v="882"/>
    <n v="35.85"/>
  </r>
  <r>
    <x v="897"/>
    <x v="254"/>
    <s v="CUST0063"/>
    <s v="Consumer"/>
    <x v="6"/>
    <s v="Technology"/>
    <x v="2"/>
    <n v="1"/>
    <n v="1004.58"/>
    <x v="4"/>
    <x v="883"/>
    <n v="86.03"/>
  </r>
  <r>
    <x v="898"/>
    <x v="255"/>
    <s v="CUST0275"/>
    <s v="Consumer"/>
    <x v="6"/>
    <s v="Technology"/>
    <x v="1"/>
    <n v="1"/>
    <n v="990.73"/>
    <x v="2"/>
    <x v="884"/>
    <n v="235.81"/>
  </r>
  <r>
    <x v="899"/>
    <x v="255"/>
    <s v="CUST0036"/>
    <s v="Corporate"/>
    <x v="3"/>
    <s v="Furniture"/>
    <x v="0"/>
    <n v="1"/>
    <n v="41.07"/>
    <x v="3"/>
    <x v="885"/>
    <n v="7.49"/>
  </r>
  <r>
    <x v="900"/>
    <x v="255"/>
    <s v="CUST0023"/>
    <s v="Consumer"/>
    <x v="0"/>
    <s v="Office Supplies"/>
    <x v="0"/>
    <n v="2"/>
    <n v="15.19"/>
    <x v="3"/>
    <x v="886"/>
    <n v="5.6"/>
  </r>
  <r>
    <x v="901"/>
    <x v="255"/>
    <s v="CUST0213"/>
    <s v="Consumer"/>
    <x v="7"/>
    <s v="Technology"/>
    <x v="1"/>
    <n v="3"/>
    <n v="26.63"/>
    <x v="2"/>
    <x v="887"/>
    <n v="15.32"/>
  </r>
  <r>
    <x v="902"/>
    <x v="255"/>
    <s v="CUST0103"/>
    <s v="Consumer"/>
    <x v="1"/>
    <s v="Furniture"/>
    <x v="1"/>
    <n v="1"/>
    <n v="190.63"/>
    <x v="2"/>
    <x v="888"/>
    <n v="40.04"/>
  </r>
  <r>
    <x v="903"/>
    <x v="256"/>
    <s v="CUST0105"/>
    <s v="Consumer"/>
    <x v="2"/>
    <s v="Technology"/>
    <x v="0"/>
    <n v="2"/>
    <n v="68.8"/>
    <x v="3"/>
    <x v="889"/>
    <n v="11.05"/>
  </r>
  <r>
    <x v="904"/>
    <x v="256"/>
    <s v="CUST0006"/>
    <s v="Consumer"/>
    <x v="2"/>
    <s v="Technology"/>
    <x v="3"/>
    <n v="2"/>
    <n v="71.709999999999994"/>
    <x v="3"/>
    <x v="890"/>
    <n v="17.440000000000001"/>
  </r>
  <r>
    <x v="905"/>
    <x v="257"/>
    <s v="CUST0142"/>
    <s v="Consumer"/>
    <x v="0"/>
    <s v="Office Supplies"/>
    <x v="0"/>
    <n v="1"/>
    <n v="14.06"/>
    <x v="3"/>
    <x v="891"/>
    <n v="3.18"/>
  </r>
  <r>
    <x v="906"/>
    <x v="258"/>
    <s v="CUST0160"/>
    <s v="Small Business"/>
    <x v="11"/>
    <s v="Lifestyle"/>
    <x v="0"/>
    <n v="1"/>
    <n v="20.11"/>
    <x v="2"/>
    <x v="892"/>
    <n v="4.84"/>
  </r>
  <r>
    <x v="907"/>
    <x v="258"/>
    <s v="CUST0059"/>
    <s v="Corporate"/>
    <x v="11"/>
    <s v="Lifestyle"/>
    <x v="3"/>
    <n v="4"/>
    <n v="22.43"/>
    <x v="3"/>
    <x v="893"/>
    <n v="19.11"/>
  </r>
  <r>
    <x v="908"/>
    <x v="258"/>
    <s v="CUST0271"/>
    <s v="Small Business"/>
    <x v="6"/>
    <s v="Technology"/>
    <x v="3"/>
    <n v="3"/>
    <n v="1004.97"/>
    <x v="3"/>
    <x v="894"/>
    <n v="260.01"/>
  </r>
  <r>
    <x v="909"/>
    <x v="258"/>
    <s v="CUST0227"/>
    <s v="Consumer"/>
    <x v="5"/>
    <s v="Lifestyle"/>
    <x v="3"/>
    <n v="1"/>
    <n v="56.15"/>
    <x v="1"/>
    <x v="895"/>
    <n v="8.0399999999999991"/>
  </r>
  <r>
    <x v="910"/>
    <x v="258"/>
    <s v="CUST0016"/>
    <s v="Small Business"/>
    <x v="10"/>
    <s v="Office Supplies"/>
    <x v="2"/>
    <n v="2"/>
    <n v="9.68"/>
    <x v="2"/>
    <x v="896"/>
    <n v="4.7300000000000004"/>
  </r>
  <r>
    <x v="911"/>
    <x v="258"/>
    <s v="CUST0072"/>
    <s v="Consumer"/>
    <x v="6"/>
    <s v="Technology"/>
    <x v="1"/>
    <n v="3"/>
    <n v="1028.45"/>
    <x v="2"/>
    <x v="897"/>
    <n v="540.1"/>
  </r>
  <r>
    <x v="912"/>
    <x v="258"/>
    <s v="CUST0015"/>
    <s v="Consumer"/>
    <x v="0"/>
    <s v="Office Supplies"/>
    <x v="3"/>
    <n v="1"/>
    <n v="13.55"/>
    <x v="0"/>
    <x v="898"/>
    <n v="2.5499999999999998"/>
  </r>
  <r>
    <x v="913"/>
    <x v="259"/>
    <s v="CUST0087"/>
    <s v="Small Business"/>
    <x v="8"/>
    <s v="Furniture"/>
    <x v="3"/>
    <n v="2"/>
    <n v="314.5"/>
    <x v="3"/>
    <x v="899"/>
    <n v="104.67"/>
  </r>
  <r>
    <x v="914"/>
    <x v="259"/>
    <s v="CUST0061"/>
    <s v="Consumer"/>
    <x v="3"/>
    <s v="Furniture"/>
    <x v="1"/>
    <n v="2"/>
    <n v="37.799999999999997"/>
    <x v="3"/>
    <x v="900"/>
    <n v="7.97"/>
  </r>
  <r>
    <x v="915"/>
    <x v="259"/>
    <s v="CUST0273"/>
    <s v="Consumer"/>
    <x v="2"/>
    <s v="Technology"/>
    <x v="3"/>
    <n v="1"/>
    <n v="79.94"/>
    <x v="3"/>
    <x v="39"/>
    <n v="18.100000000000001"/>
  </r>
  <r>
    <x v="916"/>
    <x v="260"/>
    <s v="CUST0015"/>
    <s v="Small Business"/>
    <x v="1"/>
    <s v="Furniture"/>
    <x v="3"/>
    <n v="2"/>
    <n v="163.58000000000001"/>
    <x v="0"/>
    <x v="901"/>
    <n v="50.77"/>
  </r>
  <r>
    <x v="917"/>
    <x v="260"/>
    <s v="CUST0089"/>
    <s v="Corporate"/>
    <x v="4"/>
    <s v="Technology"/>
    <x v="3"/>
    <n v="2"/>
    <n v="199.16"/>
    <x v="3"/>
    <x v="902"/>
    <n v="32.85"/>
  </r>
  <r>
    <x v="918"/>
    <x v="260"/>
    <s v="CUST0295"/>
    <s v="Corporate"/>
    <x v="2"/>
    <s v="Technology"/>
    <x v="0"/>
    <n v="1"/>
    <n v="74.87"/>
    <x v="3"/>
    <x v="903"/>
    <n v="20.22"/>
  </r>
  <r>
    <x v="919"/>
    <x v="260"/>
    <s v="CUST0067"/>
    <s v="Small Business"/>
    <x v="8"/>
    <s v="Furniture"/>
    <x v="3"/>
    <n v="5"/>
    <n v="342.43"/>
    <x v="1"/>
    <x v="904"/>
    <n v="139.6"/>
  </r>
  <r>
    <x v="920"/>
    <x v="261"/>
    <s v="CUST0146"/>
    <s v="Consumer"/>
    <x v="11"/>
    <s v="Lifestyle"/>
    <x v="0"/>
    <n v="2"/>
    <n v="23.5"/>
    <x v="3"/>
    <x v="905"/>
    <n v="8.59"/>
  </r>
  <r>
    <x v="921"/>
    <x v="261"/>
    <s v="CUST0050"/>
    <s v="Consumer"/>
    <x v="2"/>
    <s v="Technology"/>
    <x v="2"/>
    <n v="1"/>
    <n v="77"/>
    <x v="0"/>
    <x v="906"/>
    <n v="10.55"/>
  </r>
  <r>
    <x v="922"/>
    <x v="261"/>
    <s v="CUST0031"/>
    <s v="Consumer"/>
    <x v="9"/>
    <s v="Office Supplies"/>
    <x v="1"/>
    <n v="4"/>
    <n v="16.95"/>
    <x v="1"/>
    <x v="907"/>
    <n v="2.81"/>
  </r>
  <r>
    <x v="923"/>
    <x v="261"/>
    <s v="CUST0120"/>
    <s v="Corporate"/>
    <x v="4"/>
    <s v="Technology"/>
    <x v="0"/>
    <n v="2"/>
    <n v="229.69"/>
    <x v="2"/>
    <x v="908"/>
    <n v="37.82"/>
  </r>
  <r>
    <x v="924"/>
    <x v="261"/>
    <s v="CUST0109"/>
    <s v="Consumer"/>
    <x v="4"/>
    <s v="Technology"/>
    <x v="2"/>
    <n v="2"/>
    <n v="192.94"/>
    <x v="2"/>
    <x v="909"/>
    <n v="59.69"/>
  </r>
  <r>
    <x v="925"/>
    <x v="261"/>
    <s v="CUST0246"/>
    <s v="Consumer"/>
    <x v="8"/>
    <s v="Furniture"/>
    <x v="2"/>
    <n v="3"/>
    <n v="341.73"/>
    <x v="0"/>
    <x v="910"/>
    <n v="94.45"/>
  </r>
  <r>
    <x v="926"/>
    <x v="261"/>
    <s v="CUST0217"/>
    <s v="Consumer"/>
    <x v="10"/>
    <s v="Office Supplies"/>
    <x v="0"/>
    <n v="3"/>
    <n v="9.33"/>
    <x v="3"/>
    <x v="911"/>
    <n v="7.12"/>
  </r>
  <r>
    <x v="927"/>
    <x v="262"/>
    <s v="CUST0027"/>
    <s v="Small Business"/>
    <x v="8"/>
    <s v="Furniture"/>
    <x v="2"/>
    <n v="3"/>
    <n v="303.5"/>
    <x v="1"/>
    <x v="912"/>
    <n v="76.92"/>
  </r>
  <r>
    <x v="928"/>
    <x v="262"/>
    <s v="CUST0049"/>
    <s v="Small Business"/>
    <x v="8"/>
    <s v="Furniture"/>
    <x v="1"/>
    <n v="2"/>
    <n v="320.81"/>
    <x v="3"/>
    <x v="913"/>
    <n v="167.58"/>
  </r>
  <r>
    <x v="929"/>
    <x v="262"/>
    <s v="CUST0227"/>
    <s v="Corporate"/>
    <x v="0"/>
    <s v="Office Supplies"/>
    <x v="3"/>
    <n v="4"/>
    <n v="14.65"/>
    <x v="3"/>
    <x v="914"/>
    <n v="12.41"/>
  </r>
  <r>
    <x v="930"/>
    <x v="262"/>
    <s v="CUST0261"/>
    <s v="Consumer"/>
    <x v="5"/>
    <s v="Lifestyle"/>
    <x v="0"/>
    <n v="1"/>
    <n v="49.97"/>
    <x v="3"/>
    <x v="915"/>
    <n v="12.69"/>
  </r>
  <r>
    <x v="931"/>
    <x v="262"/>
    <s v="CUST0260"/>
    <s v="Corporate"/>
    <x v="5"/>
    <s v="Lifestyle"/>
    <x v="0"/>
    <n v="3"/>
    <n v="52.53"/>
    <x v="0"/>
    <x v="916"/>
    <n v="12.3"/>
  </r>
  <r>
    <x v="932"/>
    <x v="263"/>
    <s v="CUST0109"/>
    <s v="Consumer"/>
    <x v="7"/>
    <s v="Technology"/>
    <x v="1"/>
    <n v="2"/>
    <n v="28.35"/>
    <x v="0"/>
    <x v="917"/>
    <n v="7.43"/>
  </r>
  <r>
    <x v="933"/>
    <x v="263"/>
    <s v="CUST0119"/>
    <s v="Consumer"/>
    <x v="4"/>
    <s v="Technology"/>
    <x v="3"/>
    <n v="1"/>
    <n v="216.12"/>
    <x v="1"/>
    <x v="918"/>
    <n v="17.7"/>
  </r>
  <r>
    <x v="934"/>
    <x v="264"/>
    <s v="CUST0002"/>
    <s v="Consumer"/>
    <x v="0"/>
    <s v="Office Supplies"/>
    <x v="3"/>
    <n v="4"/>
    <n v="13.91"/>
    <x v="2"/>
    <x v="919"/>
    <n v="11.81"/>
  </r>
  <r>
    <x v="935"/>
    <x v="264"/>
    <s v="CUST0070"/>
    <s v="Consumer"/>
    <x v="3"/>
    <s v="Furniture"/>
    <x v="3"/>
    <n v="3"/>
    <n v="41.43"/>
    <x v="2"/>
    <x v="920"/>
    <n v="9.07"/>
  </r>
  <r>
    <x v="936"/>
    <x v="265"/>
    <s v="CUST0128"/>
    <s v="Corporate"/>
    <x v="6"/>
    <s v="Technology"/>
    <x v="1"/>
    <n v="5"/>
    <n v="913.08"/>
    <x v="3"/>
    <x v="921"/>
    <n v="539.54999999999995"/>
  </r>
  <r>
    <x v="937"/>
    <x v="265"/>
    <s v="CUST0027"/>
    <s v="Consumer"/>
    <x v="5"/>
    <s v="Lifestyle"/>
    <x v="1"/>
    <n v="2"/>
    <n v="51.74"/>
    <x v="3"/>
    <x v="922"/>
    <n v="10.17"/>
  </r>
  <r>
    <x v="938"/>
    <x v="265"/>
    <s v="CUST0181"/>
    <s v="Consumer"/>
    <x v="11"/>
    <s v="Lifestyle"/>
    <x v="2"/>
    <n v="3"/>
    <n v="22.68"/>
    <x v="0"/>
    <x v="923"/>
    <n v="5.03"/>
  </r>
  <r>
    <x v="939"/>
    <x v="265"/>
    <s v="CUST0090"/>
    <s v="Corporate"/>
    <x v="7"/>
    <s v="Technology"/>
    <x v="3"/>
    <n v="4"/>
    <n v="28.26"/>
    <x v="0"/>
    <x v="924"/>
    <n v="11.17"/>
  </r>
  <r>
    <x v="940"/>
    <x v="266"/>
    <s v="CUST0127"/>
    <s v="Corporate"/>
    <x v="5"/>
    <s v="Lifestyle"/>
    <x v="3"/>
    <n v="2"/>
    <n v="57.47"/>
    <x v="0"/>
    <x v="925"/>
    <n v="20.48"/>
  </r>
  <r>
    <x v="941"/>
    <x v="267"/>
    <s v="CUST0164"/>
    <s v="Small Business"/>
    <x v="6"/>
    <s v="Technology"/>
    <x v="2"/>
    <n v="4"/>
    <n v="1026.75"/>
    <x v="3"/>
    <x v="926"/>
    <n v="591.95000000000005"/>
  </r>
  <r>
    <x v="942"/>
    <x v="267"/>
    <s v="CUST0169"/>
    <s v="Consumer"/>
    <x v="9"/>
    <s v="Office Supplies"/>
    <x v="1"/>
    <n v="2"/>
    <n v="17.66"/>
    <x v="0"/>
    <x v="927"/>
    <n v="7.35"/>
  </r>
  <r>
    <x v="943"/>
    <x v="267"/>
    <s v="CUST0147"/>
    <s v="Corporate"/>
    <x v="10"/>
    <s v="Office Supplies"/>
    <x v="0"/>
    <n v="2"/>
    <n v="8.6199999999999992"/>
    <x v="3"/>
    <x v="928"/>
    <n v="4.7699999999999996"/>
  </r>
  <r>
    <x v="944"/>
    <x v="268"/>
    <s v="CUST0170"/>
    <s v="Corporate"/>
    <x v="4"/>
    <s v="Technology"/>
    <x v="1"/>
    <n v="1"/>
    <n v="192.46"/>
    <x v="2"/>
    <x v="929"/>
    <n v="35.29"/>
  </r>
  <r>
    <x v="945"/>
    <x v="268"/>
    <s v="CUST0274"/>
    <s v="Consumer"/>
    <x v="7"/>
    <s v="Technology"/>
    <x v="3"/>
    <n v="1"/>
    <n v="25.21"/>
    <x v="4"/>
    <x v="930"/>
    <n v="3.5"/>
  </r>
  <r>
    <x v="946"/>
    <x v="268"/>
    <s v="CUST0287"/>
    <s v="Corporate"/>
    <x v="9"/>
    <s v="Office Supplies"/>
    <x v="0"/>
    <n v="1"/>
    <n v="16.63"/>
    <x v="2"/>
    <x v="931"/>
    <n v="1.25"/>
  </r>
  <r>
    <x v="947"/>
    <x v="269"/>
    <s v="CUST0283"/>
    <s v="Consumer"/>
    <x v="5"/>
    <s v="Lifestyle"/>
    <x v="3"/>
    <n v="4"/>
    <n v="50.84"/>
    <x v="3"/>
    <x v="932"/>
    <n v="30.76"/>
  </r>
  <r>
    <x v="948"/>
    <x v="269"/>
    <s v="CUST0197"/>
    <s v="Corporate"/>
    <x v="9"/>
    <s v="Office Supplies"/>
    <x v="0"/>
    <n v="3"/>
    <n v="19.649999999999999"/>
    <x v="0"/>
    <x v="933"/>
    <n v="11.74"/>
  </r>
  <r>
    <x v="949"/>
    <x v="269"/>
    <s v="CUST0106"/>
    <s v="Corporate"/>
    <x v="6"/>
    <s v="Technology"/>
    <x v="3"/>
    <n v="1"/>
    <n v="1036.94"/>
    <x v="2"/>
    <x v="934"/>
    <n v="143.83000000000001"/>
  </r>
  <r>
    <x v="950"/>
    <x v="269"/>
    <s v="CUST0288"/>
    <s v="Consumer"/>
    <x v="1"/>
    <s v="Furniture"/>
    <x v="1"/>
    <n v="3"/>
    <n v="173.03"/>
    <x v="3"/>
    <x v="935"/>
    <n v="123.44"/>
  </r>
  <r>
    <x v="951"/>
    <x v="270"/>
    <s v="CUST0176"/>
    <s v="Consumer"/>
    <x v="8"/>
    <s v="Furniture"/>
    <x v="3"/>
    <n v="2"/>
    <n v="325.04000000000002"/>
    <x v="3"/>
    <x v="936"/>
    <n v="96.44"/>
  </r>
  <r>
    <x v="952"/>
    <x v="270"/>
    <s v="CUST0244"/>
    <s v="Consumer"/>
    <x v="8"/>
    <s v="Furniture"/>
    <x v="0"/>
    <n v="1"/>
    <n v="328.62"/>
    <x v="2"/>
    <x v="937"/>
    <n v="27.73"/>
  </r>
  <r>
    <x v="953"/>
    <x v="270"/>
    <s v="CUST0077"/>
    <s v="Small Business"/>
    <x v="1"/>
    <s v="Furniture"/>
    <x v="3"/>
    <n v="2"/>
    <n v="179.9"/>
    <x v="2"/>
    <x v="938"/>
    <n v="70.37"/>
  </r>
  <r>
    <x v="954"/>
    <x v="270"/>
    <s v="CUST0020"/>
    <s v="Small Business"/>
    <x v="5"/>
    <s v="Lifestyle"/>
    <x v="1"/>
    <n v="2"/>
    <n v="58.58"/>
    <x v="3"/>
    <x v="939"/>
    <n v="17.88"/>
  </r>
  <r>
    <x v="955"/>
    <x v="270"/>
    <s v="CUST0058"/>
    <s v="Consumer"/>
    <x v="5"/>
    <s v="Lifestyle"/>
    <x v="1"/>
    <n v="3"/>
    <n v="49.74"/>
    <x v="3"/>
    <x v="940"/>
    <n v="21.6"/>
  </r>
  <r>
    <x v="956"/>
    <x v="271"/>
    <s v="CUST0292"/>
    <s v="Small Business"/>
    <x v="10"/>
    <s v="Office Supplies"/>
    <x v="2"/>
    <n v="1"/>
    <n v="8.26"/>
    <x v="4"/>
    <x v="941"/>
    <n v="0.32"/>
  </r>
  <r>
    <x v="957"/>
    <x v="271"/>
    <s v="CUST0159"/>
    <s v="Corporate"/>
    <x v="7"/>
    <s v="Technology"/>
    <x v="3"/>
    <n v="1"/>
    <n v="29.6"/>
    <x v="2"/>
    <x v="942"/>
    <n v="6.82"/>
  </r>
  <r>
    <x v="958"/>
    <x v="271"/>
    <s v="CUST0094"/>
    <s v="Consumer"/>
    <x v="7"/>
    <s v="Technology"/>
    <x v="3"/>
    <n v="4"/>
    <n v="29.57"/>
    <x v="4"/>
    <x v="943"/>
    <n v="9.02"/>
  </r>
  <r>
    <x v="959"/>
    <x v="272"/>
    <s v="CUST0114"/>
    <s v="Corporate"/>
    <x v="6"/>
    <s v="Technology"/>
    <x v="2"/>
    <n v="1"/>
    <n v="909.09"/>
    <x v="3"/>
    <x v="944"/>
    <n v="141.09"/>
  </r>
  <r>
    <x v="960"/>
    <x v="272"/>
    <s v="CUST0271"/>
    <s v="Corporate"/>
    <x v="3"/>
    <s v="Furniture"/>
    <x v="1"/>
    <n v="2"/>
    <n v="42.6"/>
    <x v="2"/>
    <x v="945"/>
    <n v="6.24"/>
  </r>
  <r>
    <x v="961"/>
    <x v="273"/>
    <s v="CUST0206"/>
    <s v="Consumer"/>
    <x v="5"/>
    <s v="Lifestyle"/>
    <x v="2"/>
    <n v="2"/>
    <n v="59.34"/>
    <x v="3"/>
    <x v="946"/>
    <n v="24.8"/>
  </r>
  <r>
    <x v="962"/>
    <x v="273"/>
    <s v="CUST0258"/>
    <s v="Corporate"/>
    <x v="6"/>
    <s v="Technology"/>
    <x v="1"/>
    <n v="1"/>
    <n v="877.35"/>
    <x v="3"/>
    <x v="947"/>
    <n v="110.08"/>
  </r>
  <r>
    <x v="963"/>
    <x v="273"/>
    <s v="CUST0271"/>
    <s v="Consumer"/>
    <x v="8"/>
    <s v="Furniture"/>
    <x v="2"/>
    <n v="1"/>
    <n v="303.11"/>
    <x v="2"/>
    <x v="948"/>
    <n v="62"/>
  </r>
  <r>
    <x v="964"/>
    <x v="273"/>
    <s v="CUST0250"/>
    <s v="Consumer"/>
    <x v="8"/>
    <s v="Furniture"/>
    <x v="0"/>
    <n v="3"/>
    <n v="343.78"/>
    <x v="2"/>
    <x v="949"/>
    <n v="117.43"/>
  </r>
  <r>
    <x v="965"/>
    <x v="273"/>
    <s v="CUST0243"/>
    <s v="Consumer"/>
    <x v="2"/>
    <s v="Technology"/>
    <x v="3"/>
    <n v="2"/>
    <n v="75.64"/>
    <x v="3"/>
    <x v="950"/>
    <n v="27.03"/>
  </r>
  <r>
    <x v="966"/>
    <x v="274"/>
    <s v="CUST0184"/>
    <s v="Consumer"/>
    <x v="3"/>
    <s v="Furniture"/>
    <x v="0"/>
    <n v="3"/>
    <n v="43.96"/>
    <x v="3"/>
    <x v="951"/>
    <n v="13.03"/>
  </r>
  <r>
    <x v="967"/>
    <x v="274"/>
    <s v="CUST0137"/>
    <s v="Consumer"/>
    <x v="1"/>
    <s v="Furniture"/>
    <x v="3"/>
    <n v="1"/>
    <n v="168.72"/>
    <x v="3"/>
    <x v="952"/>
    <n v="23.12"/>
  </r>
  <r>
    <x v="968"/>
    <x v="274"/>
    <s v="CUST0271"/>
    <s v="Small Business"/>
    <x v="11"/>
    <s v="Lifestyle"/>
    <x v="2"/>
    <n v="2"/>
    <n v="23.77"/>
    <x v="0"/>
    <x v="953"/>
    <n v="9.7899999999999991"/>
  </r>
  <r>
    <x v="969"/>
    <x v="275"/>
    <s v="CUST0126"/>
    <s v="Corporate"/>
    <x v="0"/>
    <s v="Office Supplies"/>
    <x v="3"/>
    <n v="1"/>
    <n v="15.25"/>
    <x v="0"/>
    <x v="954"/>
    <n v="1.72"/>
  </r>
  <r>
    <x v="970"/>
    <x v="275"/>
    <s v="CUST0281"/>
    <s v="Corporate"/>
    <x v="9"/>
    <s v="Office Supplies"/>
    <x v="1"/>
    <n v="2"/>
    <n v="16.88"/>
    <x v="3"/>
    <x v="955"/>
    <n v="2.77"/>
  </r>
  <r>
    <x v="971"/>
    <x v="275"/>
    <s v="CUST0072"/>
    <s v="Corporate"/>
    <x v="11"/>
    <s v="Lifestyle"/>
    <x v="2"/>
    <n v="1"/>
    <n v="22.08"/>
    <x v="3"/>
    <x v="283"/>
    <n v="2.3199999999999998"/>
  </r>
  <r>
    <x v="972"/>
    <x v="275"/>
    <s v="CUST0146"/>
    <s v="Consumer"/>
    <x v="4"/>
    <s v="Technology"/>
    <x v="0"/>
    <n v="1"/>
    <n v="211.64"/>
    <x v="0"/>
    <x v="956"/>
    <n v="22.5"/>
  </r>
  <r>
    <x v="973"/>
    <x v="275"/>
    <s v="CUST0275"/>
    <s v="Small Business"/>
    <x v="7"/>
    <s v="Technology"/>
    <x v="1"/>
    <n v="3"/>
    <n v="27.79"/>
    <x v="3"/>
    <x v="957"/>
    <n v="21.85"/>
  </r>
  <r>
    <x v="974"/>
    <x v="276"/>
    <s v="CUST0241"/>
    <s v="Small Business"/>
    <x v="1"/>
    <s v="Furniture"/>
    <x v="0"/>
    <n v="4"/>
    <n v="192.99"/>
    <x v="2"/>
    <x v="958"/>
    <n v="53.77"/>
  </r>
  <r>
    <x v="975"/>
    <x v="276"/>
    <s v="CUST0004"/>
    <s v="Corporate"/>
    <x v="2"/>
    <s v="Technology"/>
    <x v="2"/>
    <n v="2"/>
    <n v="78"/>
    <x v="1"/>
    <x v="959"/>
    <n v="11.69"/>
  </r>
  <r>
    <x v="976"/>
    <x v="276"/>
    <s v="CUST0093"/>
    <s v="Small Business"/>
    <x v="4"/>
    <s v="Technology"/>
    <x v="1"/>
    <n v="2"/>
    <n v="200.49"/>
    <x v="3"/>
    <x v="960"/>
    <n v="110.67"/>
  </r>
  <r>
    <x v="977"/>
    <x v="276"/>
    <s v="CUST0270"/>
    <s v="Consumer"/>
    <x v="8"/>
    <s v="Furniture"/>
    <x v="3"/>
    <n v="2"/>
    <n v="348.49"/>
    <x v="2"/>
    <x v="961"/>
    <n v="179.17"/>
  </r>
  <r>
    <x v="978"/>
    <x v="277"/>
    <s v="CUST0060"/>
    <s v="Consumer"/>
    <x v="6"/>
    <s v="Technology"/>
    <x v="1"/>
    <n v="3"/>
    <n v="879.09"/>
    <x v="1"/>
    <x v="962"/>
    <n v="487.49"/>
  </r>
  <r>
    <x v="979"/>
    <x v="277"/>
    <s v="CUST0222"/>
    <s v="Consumer"/>
    <x v="3"/>
    <s v="Furniture"/>
    <x v="0"/>
    <n v="5"/>
    <n v="44.31"/>
    <x v="3"/>
    <x v="963"/>
    <n v="35.15"/>
  </r>
  <r>
    <x v="980"/>
    <x v="277"/>
    <s v="CUST0270"/>
    <s v="Consumer"/>
    <x v="1"/>
    <s v="Furniture"/>
    <x v="3"/>
    <n v="1"/>
    <n v="184.55"/>
    <x v="3"/>
    <x v="964"/>
    <n v="25.37"/>
  </r>
  <r>
    <x v="981"/>
    <x v="277"/>
    <s v="CUST0039"/>
    <s v="Consumer"/>
    <x v="4"/>
    <s v="Technology"/>
    <x v="2"/>
    <n v="2"/>
    <n v="217.44"/>
    <x v="2"/>
    <x v="965"/>
    <n v="84.41"/>
  </r>
  <r>
    <x v="982"/>
    <x v="278"/>
    <s v="CUST0267"/>
    <s v="Corporate"/>
    <x v="0"/>
    <s v="Office Supplies"/>
    <x v="1"/>
    <n v="1"/>
    <n v="12.82"/>
    <x v="3"/>
    <x v="966"/>
    <n v="1.29"/>
  </r>
  <r>
    <x v="983"/>
    <x v="278"/>
    <s v="CUST0060"/>
    <s v="Consumer"/>
    <x v="10"/>
    <s v="Office Supplies"/>
    <x v="2"/>
    <n v="1"/>
    <n v="8.69"/>
    <x v="0"/>
    <x v="301"/>
    <n v="0.95"/>
  </r>
  <r>
    <x v="984"/>
    <x v="279"/>
    <s v="CUST0095"/>
    <s v="Corporate"/>
    <x v="4"/>
    <s v="Technology"/>
    <x v="0"/>
    <n v="2"/>
    <n v="209.43"/>
    <x v="2"/>
    <x v="967"/>
    <n v="59.09"/>
  </r>
  <r>
    <x v="985"/>
    <x v="279"/>
    <s v="CUST0126"/>
    <s v="Consumer"/>
    <x v="2"/>
    <s v="Technology"/>
    <x v="0"/>
    <n v="3"/>
    <n v="75.959999999999994"/>
    <x v="3"/>
    <x v="968"/>
    <n v="56.55"/>
  </r>
  <r>
    <x v="986"/>
    <x v="280"/>
    <s v="CUST0017"/>
    <s v="Consumer"/>
    <x v="1"/>
    <s v="Furniture"/>
    <x v="0"/>
    <n v="2"/>
    <n v="172"/>
    <x v="3"/>
    <x v="969"/>
    <n v="83.71"/>
  </r>
  <r>
    <x v="987"/>
    <x v="280"/>
    <s v="CUST0231"/>
    <s v="Small Business"/>
    <x v="5"/>
    <s v="Lifestyle"/>
    <x v="1"/>
    <n v="2"/>
    <n v="55.19"/>
    <x v="3"/>
    <x v="970"/>
    <n v="28.88"/>
  </r>
  <r>
    <x v="988"/>
    <x v="281"/>
    <s v="CUST0182"/>
    <s v="Small Business"/>
    <x v="7"/>
    <s v="Technology"/>
    <x v="1"/>
    <n v="1"/>
    <n v="28.53"/>
    <x v="0"/>
    <x v="971"/>
    <n v="4.5"/>
  </r>
  <r>
    <x v="989"/>
    <x v="281"/>
    <s v="CUST0038"/>
    <s v="Corporate"/>
    <x v="11"/>
    <s v="Lifestyle"/>
    <x v="0"/>
    <n v="2"/>
    <n v="20.16"/>
    <x v="0"/>
    <x v="972"/>
    <n v="8.81"/>
  </r>
  <r>
    <x v="990"/>
    <x v="282"/>
    <s v="CUST0002"/>
    <s v="Small Business"/>
    <x v="9"/>
    <s v="Office Supplies"/>
    <x v="3"/>
    <n v="2"/>
    <n v="19.36"/>
    <x v="3"/>
    <x v="973"/>
    <n v="4.62"/>
  </r>
  <r>
    <x v="991"/>
    <x v="282"/>
    <s v="CUST0068"/>
    <s v="Small Business"/>
    <x v="10"/>
    <s v="Office Supplies"/>
    <x v="1"/>
    <n v="2"/>
    <n v="9.77"/>
    <x v="2"/>
    <x v="755"/>
    <n v="3.21"/>
  </r>
  <r>
    <x v="992"/>
    <x v="283"/>
    <s v="CUST0118"/>
    <s v="Corporate"/>
    <x v="0"/>
    <s v="Office Supplies"/>
    <x v="2"/>
    <n v="3"/>
    <n v="12.72"/>
    <x v="2"/>
    <x v="974"/>
    <n v="6.96"/>
  </r>
  <r>
    <x v="993"/>
    <x v="283"/>
    <s v="CUST0268"/>
    <s v="Consumer"/>
    <x v="9"/>
    <s v="Office Supplies"/>
    <x v="3"/>
    <n v="2"/>
    <n v="16.510000000000002"/>
    <x v="2"/>
    <x v="975"/>
    <n v="2.61"/>
  </r>
  <r>
    <x v="994"/>
    <x v="284"/>
    <s v="CUST0029"/>
    <s v="Corporate"/>
    <x v="9"/>
    <s v="Office Supplies"/>
    <x v="3"/>
    <n v="1"/>
    <n v="19.79"/>
    <x v="3"/>
    <x v="976"/>
    <n v="4.9800000000000004"/>
  </r>
  <r>
    <x v="995"/>
    <x v="284"/>
    <s v="CUST0204"/>
    <s v="Consumer"/>
    <x v="1"/>
    <s v="Furniture"/>
    <x v="0"/>
    <n v="1"/>
    <n v="169.48"/>
    <x v="0"/>
    <x v="977"/>
    <n v="32.450000000000003"/>
  </r>
  <r>
    <x v="996"/>
    <x v="285"/>
    <s v="CUST0034"/>
    <s v="Corporate"/>
    <x v="10"/>
    <s v="Office Supplies"/>
    <x v="2"/>
    <n v="3"/>
    <n v="9"/>
    <x v="0"/>
    <x v="978"/>
    <n v="1.81"/>
  </r>
  <r>
    <x v="997"/>
    <x v="285"/>
    <s v="CUST0273"/>
    <s v="Consumer"/>
    <x v="11"/>
    <s v="Lifestyle"/>
    <x v="1"/>
    <n v="2"/>
    <n v="21.75"/>
    <x v="3"/>
    <x v="979"/>
    <n v="8.93"/>
  </r>
  <r>
    <x v="998"/>
    <x v="286"/>
    <s v="CUST0009"/>
    <s v="Corporate"/>
    <x v="0"/>
    <s v="Office Supplies"/>
    <x v="1"/>
    <n v="2"/>
    <n v="13.04"/>
    <x v="0"/>
    <x v="980"/>
    <n v="3.19"/>
  </r>
  <r>
    <x v="999"/>
    <x v="286"/>
    <s v="CUST0126"/>
    <s v="Corporate"/>
    <x v="4"/>
    <s v="Technology"/>
    <x v="0"/>
    <n v="2"/>
    <n v="218.61"/>
    <x v="2"/>
    <x v="981"/>
    <n v="49.75"/>
  </r>
  <r>
    <x v="1000"/>
    <x v="286"/>
    <s v="CUST0143"/>
    <s v="Consumer"/>
    <x v="9"/>
    <s v="Office Supplies"/>
    <x v="1"/>
    <n v="1"/>
    <n v="19.48"/>
    <x v="3"/>
    <x v="982"/>
    <n v="4.03"/>
  </r>
  <r>
    <x v="1001"/>
    <x v="286"/>
    <s v="CUST0243"/>
    <s v="Consumer"/>
    <x v="9"/>
    <s v="Office Supplies"/>
    <x v="0"/>
    <n v="4"/>
    <n v="17"/>
    <x v="4"/>
    <x v="983"/>
    <n v="3.75"/>
  </r>
  <r>
    <x v="1002"/>
    <x v="286"/>
    <s v="CUST0030"/>
    <s v="Consumer"/>
    <x v="11"/>
    <s v="Lifestyle"/>
    <x v="2"/>
    <n v="1"/>
    <n v="19.809999999999999"/>
    <x v="2"/>
    <x v="984"/>
    <n v="3.13"/>
  </r>
  <r>
    <x v="1003"/>
    <x v="286"/>
    <s v="CUST0038"/>
    <s v="Consumer"/>
    <x v="4"/>
    <s v="Technology"/>
    <x v="1"/>
    <n v="1"/>
    <n v="199.81"/>
    <x v="3"/>
    <x v="985"/>
    <n v="21.41"/>
  </r>
  <r>
    <x v="1004"/>
    <x v="287"/>
    <s v="CUST0136"/>
    <s v="Corporate"/>
    <x v="11"/>
    <s v="Lifestyle"/>
    <x v="3"/>
    <n v="2"/>
    <n v="21.69"/>
    <x v="2"/>
    <x v="986"/>
    <n v="10.76"/>
  </r>
  <r>
    <x v="1005"/>
    <x v="287"/>
    <s v="CUST0159"/>
    <s v="Consumer"/>
    <x v="10"/>
    <s v="Office Supplies"/>
    <x v="3"/>
    <n v="1"/>
    <n v="9.51"/>
    <x v="4"/>
    <x v="987"/>
    <n v="1.74"/>
  </r>
  <r>
    <x v="1006"/>
    <x v="287"/>
    <s v="CUST0037"/>
    <s v="Corporate"/>
    <x v="7"/>
    <s v="Technology"/>
    <x v="0"/>
    <n v="1"/>
    <n v="28.46"/>
    <x v="0"/>
    <x v="988"/>
    <n v="2.5499999999999998"/>
  </r>
  <r>
    <x v="1007"/>
    <x v="288"/>
    <s v="CUST0133"/>
    <s v="Consumer"/>
    <x v="9"/>
    <s v="Office Supplies"/>
    <x v="2"/>
    <n v="2"/>
    <n v="18.399999999999999"/>
    <x v="2"/>
    <x v="989"/>
    <n v="2.4300000000000002"/>
  </r>
  <r>
    <x v="1008"/>
    <x v="288"/>
    <s v="CUST0079"/>
    <s v="Small Business"/>
    <x v="0"/>
    <s v="Office Supplies"/>
    <x v="2"/>
    <n v="5"/>
    <n v="14.01"/>
    <x v="0"/>
    <x v="990"/>
    <n v="5.53"/>
  </r>
  <r>
    <x v="1009"/>
    <x v="288"/>
    <s v="CUST0224"/>
    <s v="Small Business"/>
    <x v="10"/>
    <s v="Office Supplies"/>
    <x v="0"/>
    <n v="4"/>
    <n v="8.15"/>
    <x v="3"/>
    <x v="991"/>
    <n v="5.0599999999999996"/>
  </r>
  <r>
    <x v="1010"/>
    <x v="288"/>
    <s v="CUST0003"/>
    <s v="Consumer"/>
    <x v="10"/>
    <s v="Office Supplies"/>
    <x v="3"/>
    <n v="2"/>
    <n v="8.1"/>
    <x v="1"/>
    <x v="992"/>
    <n v="1.32"/>
  </r>
  <r>
    <x v="1011"/>
    <x v="288"/>
    <s v="CUST0250"/>
    <s v="Consumer"/>
    <x v="0"/>
    <s v="Office Supplies"/>
    <x v="3"/>
    <n v="1"/>
    <n v="13.56"/>
    <x v="3"/>
    <x v="993"/>
    <n v="3.7"/>
  </r>
  <r>
    <x v="1012"/>
    <x v="288"/>
    <s v="CUST0036"/>
    <s v="Small Business"/>
    <x v="7"/>
    <s v="Technology"/>
    <x v="0"/>
    <n v="1"/>
    <n v="26.81"/>
    <x v="2"/>
    <x v="994"/>
    <n v="2.23"/>
  </r>
  <r>
    <x v="1013"/>
    <x v="288"/>
    <s v="CUST0089"/>
    <s v="Consumer"/>
    <x v="1"/>
    <s v="Furniture"/>
    <x v="1"/>
    <n v="1"/>
    <n v="166.08"/>
    <x v="0"/>
    <x v="995"/>
    <n v="39.11"/>
  </r>
  <r>
    <x v="1014"/>
    <x v="288"/>
    <s v="CUST0047"/>
    <s v="Consumer"/>
    <x v="11"/>
    <s v="Lifestyle"/>
    <x v="1"/>
    <n v="1"/>
    <n v="21.98"/>
    <x v="0"/>
    <x v="996"/>
    <n v="1.79"/>
  </r>
  <r>
    <x v="1015"/>
    <x v="289"/>
    <s v="CUST0132"/>
    <s v="Consumer"/>
    <x v="0"/>
    <s v="Office Supplies"/>
    <x v="1"/>
    <n v="3"/>
    <n v="14.1"/>
    <x v="2"/>
    <x v="997"/>
    <n v="6.63"/>
  </r>
  <r>
    <x v="1016"/>
    <x v="289"/>
    <s v="CUST0067"/>
    <s v="Corporate"/>
    <x v="6"/>
    <s v="Technology"/>
    <x v="1"/>
    <n v="1"/>
    <n v="1042.73"/>
    <x v="3"/>
    <x v="998"/>
    <n v="178.1"/>
  </r>
  <r>
    <x v="1017"/>
    <x v="290"/>
    <s v="CUST0112"/>
    <s v="Small Business"/>
    <x v="9"/>
    <s v="Office Supplies"/>
    <x v="0"/>
    <n v="3"/>
    <n v="17.21"/>
    <x v="2"/>
    <x v="999"/>
    <n v="10.64"/>
  </r>
  <r>
    <x v="1018"/>
    <x v="290"/>
    <s v="CUST0277"/>
    <s v="Small Business"/>
    <x v="1"/>
    <s v="Furniture"/>
    <x v="0"/>
    <n v="1"/>
    <n v="165.82"/>
    <x v="2"/>
    <x v="1000"/>
    <n v="32.200000000000003"/>
  </r>
  <r>
    <x v="1019"/>
    <x v="290"/>
    <s v="CUST0234"/>
    <s v="Consumer"/>
    <x v="10"/>
    <s v="Office Supplies"/>
    <x v="1"/>
    <n v="2"/>
    <n v="9.06"/>
    <x v="3"/>
    <x v="1001"/>
    <n v="1.91"/>
  </r>
  <r>
    <x v="1020"/>
    <x v="291"/>
    <s v="CUST0047"/>
    <s v="Corporate"/>
    <x v="11"/>
    <s v="Lifestyle"/>
    <x v="3"/>
    <n v="1"/>
    <n v="22.34"/>
    <x v="0"/>
    <x v="1002"/>
    <n v="3.62"/>
  </r>
  <r>
    <x v="1021"/>
    <x v="291"/>
    <s v="CUST0209"/>
    <s v="Corporate"/>
    <x v="0"/>
    <s v="Office Supplies"/>
    <x v="1"/>
    <n v="5"/>
    <n v="13.64"/>
    <x v="0"/>
    <x v="1003"/>
    <n v="13.31"/>
  </r>
  <r>
    <x v="1022"/>
    <x v="291"/>
    <s v="CUST0094"/>
    <s v="Consumer"/>
    <x v="11"/>
    <s v="Lifestyle"/>
    <x v="0"/>
    <n v="1"/>
    <n v="21.1"/>
    <x v="2"/>
    <x v="1004"/>
    <n v="5.09"/>
  </r>
  <r>
    <x v="1023"/>
    <x v="292"/>
    <s v="CUST0092"/>
    <s v="Consumer"/>
    <x v="4"/>
    <s v="Technology"/>
    <x v="0"/>
    <n v="1"/>
    <n v="207.89"/>
    <x v="1"/>
    <x v="1005"/>
    <n v="15.58"/>
  </r>
  <r>
    <x v="1024"/>
    <x v="292"/>
    <s v="CUST0215"/>
    <s v="Consumer"/>
    <x v="2"/>
    <s v="Technology"/>
    <x v="1"/>
    <n v="1"/>
    <n v="68.16"/>
    <x v="0"/>
    <x v="1006"/>
    <n v="16.04"/>
  </r>
  <r>
    <x v="1025"/>
    <x v="292"/>
    <s v="CUST0178"/>
    <s v="Consumer"/>
    <x v="6"/>
    <s v="Technology"/>
    <x v="3"/>
    <n v="1"/>
    <n v="894.68"/>
    <x v="0"/>
    <x v="1007"/>
    <n v="55.1"/>
  </r>
  <r>
    <x v="1026"/>
    <x v="292"/>
    <s v="CUST0114"/>
    <s v="Consumer"/>
    <x v="10"/>
    <s v="Office Supplies"/>
    <x v="3"/>
    <n v="2"/>
    <n v="9.16"/>
    <x v="2"/>
    <x v="388"/>
    <n v="3.8"/>
  </r>
  <r>
    <x v="1027"/>
    <x v="293"/>
    <s v="CUST0210"/>
    <s v="Small Business"/>
    <x v="10"/>
    <s v="Office Supplies"/>
    <x v="3"/>
    <n v="2"/>
    <n v="8.85"/>
    <x v="3"/>
    <x v="1008"/>
    <n v="4.47"/>
  </r>
  <r>
    <x v="1028"/>
    <x v="293"/>
    <s v="CUST0149"/>
    <s v="Small Business"/>
    <x v="4"/>
    <s v="Technology"/>
    <x v="3"/>
    <n v="1"/>
    <n v="207.32"/>
    <x v="3"/>
    <x v="1009"/>
    <n v="43.88"/>
  </r>
  <r>
    <x v="1029"/>
    <x v="294"/>
    <s v="CUST0221"/>
    <s v="Consumer"/>
    <x v="1"/>
    <s v="Furniture"/>
    <x v="0"/>
    <n v="2"/>
    <n v="175.02"/>
    <x v="0"/>
    <x v="1010"/>
    <n v="50.34"/>
  </r>
  <r>
    <x v="1030"/>
    <x v="294"/>
    <s v="CUST0071"/>
    <s v="Consumer"/>
    <x v="6"/>
    <s v="Technology"/>
    <x v="3"/>
    <n v="3"/>
    <n v="997.3"/>
    <x v="2"/>
    <x v="1011"/>
    <n v="395.47"/>
  </r>
  <r>
    <x v="1031"/>
    <x v="294"/>
    <s v="CUST0003"/>
    <s v="Small Business"/>
    <x v="0"/>
    <s v="Office Supplies"/>
    <x v="1"/>
    <n v="3"/>
    <n v="13.71"/>
    <x v="3"/>
    <x v="1012"/>
    <n v="10.94"/>
  </r>
  <r>
    <x v="1032"/>
    <x v="295"/>
    <s v="CUST0045"/>
    <s v="Small Business"/>
    <x v="3"/>
    <s v="Furniture"/>
    <x v="2"/>
    <n v="2"/>
    <n v="39.020000000000003"/>
    <x v="3"/>
    <x v="1013"/>
    <n v="17.739999999999998"/>
  </r>
  <r>
    <x v="1033"/>
    <x v="295"/>
    <s v="CUST0057"/>
    <s v="Corporate"/>
    <x v="2"/>
    <s v="Technology"/>
    <x v="3"/>
    <n v="3"/>
    <n v="75.09"/>
    <x v="3"/>
    <x v="1014"/>
    <n v="54.73"/>
  </r>
  <r>
    <x v="1034"/>
    <x v="296"/>
    <s v="CUST0036"/>
    <s v="Consumer"/>
    <x v="9"/>
    <s v="Office Supplies"/>
    <x v="0"/>
    <n v="1"/>
    <n v="19.04"/>
    <x v="1"/>
    <x v="1015"/>
    <n v="1.59"/>
  </r>
  <r>
    <x v="1035"/>
    <x v="296"/>
    <s v="CUST0147"/>
    <s v="Small Business"/>
    <x v="6"/>
    <s v="Technology"/>
    <x v="0"/>
    <n v="1"/>
    <n v="909.25"/>
    <x v="3"/>
    <x v="1016"/>
    <n v="169.41"/>
  </r>
  <r>
    <x v="1036"/>
    <x v="297"/>
    <s v="CUST0158"/>
    <s v="Consumer"/>
    <x v="2"/>
    <s v="Technology"/>
    <x v="1"/>
    <n v="1"/>
    <n v="73.78"/>
    <x v="2"/>
    <x v="1017"/>
    <n v="15.61"/>
  </r>
  <r>
    <x v="1037"/>
    <x v="297"/>
    <s v="CUST0280"/>
    <s v="Small Business"/>
    <x v="2"/>
    <s v="Technology"/>
    <x v="0"/>
    <n v="1"/>
    <n v="79.88"/>
    <x v="3"/>
    <x v="1018"/>
    <n v="22.16"/>
  </r>
  <r>
    <x v="1038"/>
    <x v="297"/>
    <s v="CUST0124"/>
    <s v="Consumer"/>
    <x v="1"/>
    <s v="Furniture"/>
    <x v="3"/>
    <n v="4"/>
    <n v="197.35"/>
    <x v="1"/>
    <x v="1019"/>
    <n v="119.12"/>
  </r>
  <r>
    <x v="1039"/>
    <x v="297"/>
    <s v="CUST0020"/>
    <s v="Small Business"/>
    <x v="9"/>
    <s v="Office Supplies"/>
    <x v="3"/>
    <n v="3"/>
    <n v="18.47"/>
    <x v="0"/>
    <x v="1020"/>
    <n v="5.01"/>
  </r>
  <r>
    <x v="1040"/>
    <x v="297"/>
    <s v="CUST0167"/>
    <s v="Consumer"/>
    <x v="0"/>
    <s v="Office Supplies"/>
    <x v="2"/>
    <n v="1"/>
    <n v="12.66"/>
    <x v="0"/>
    <x v="624"/>
    <n v="2.6"/>
  </r>
  <r>
    <x v="1041"/>
    <x v="297"/>
    <s v="CUST0190"/>
    <s v="Consumer"/>
    <x v="8"/>
    <s v="Furniture"/>
    <x v="1"/>
    <n v="2"/>
    <n v="334.84"/>
    <x v="2"/>
    <x v="1021"/>
    <n v="150.83000000000001"/>
  </r>
  <r>
    <x v="1042"/>
    <x v="298"/>
    <s v="CUST0137"/>
    <s v="Corporate"/>
    <x v="4"/>
    <s v="Technology"/>
    <x v="2"/>
    <n v="3"/>
    <n v="197.87"/>
    <x v="3"/>
    <x v="1022"/>
    <n v="107.1"/>
  </r>
  <r>
    <x v="1043"/>
    <x v="298"/>
    <s v="CUST0074"/>
    <s v="Small Business"/>
    <x v="2"/>
    <s v="Technology"/>
    <x v="3"/>
    <n v="1"/>
    <n v="74.400000000000006"/>
    <x v="1"/>
    <x v="1023"/>
    <n v="6.2"/>
  </r>
  <r>
    <x v="1044"/>
    <x v="298"/>
    <s v="CUST0236"/>
    <s v="Consumer"/>
    <x v="0"/>
    <s v="Office Supplies"/>
    <x v="3"/>
    <n v="2"/>
    <n v="13.16"/>
    <x v="3"/>
    <x v="1024"/>
    <n v="2.2999999999999998"/>
  </r>
  <r>
    <x v="1045"/>
    <x v="298"/>
    <s v="CUST0164"/>
    <s v="Consumer"/>
    <x v="0"/>
    <s v="Office Supplies"/>
    <x v="0"/>
    <n v="1"/>
    <n v="15.33"/>
    <x v="3"/>
    <x v="1025"/>
    <n v="3.68"/>
  </r>
  <r>
    <x v="1046"/>
    <x v="299"/>
    <s v="CUST0113"/>
    <s v="Corporate"/>
    <x v="8"/>
    <s v="Furniture"/>
    <x v="3"/>
    <n v="2"/>
    <n v="313.76"/>
    <x v="3"/>
    <x v="1026"/>
    <n v="81.19"/>
  </r>
  <r>
    <x v="1047"/>
    <x v="299"/>
    <s v="CUST0240"/>
    <s v="Corporate"/>
    <x v="2"/>
    <s v="Technology"/>
    <x v="1"/>
    <n v="2"/>
    <n v="72.13"/>
    <x v="2"/>
    <x v="1027"/>
    <n v="23.03"/>
  </r>
  <r>
    <x v="1048"/>
    <x v="300"/>
    <s v="CUST0143"/>
    <s v="Corporate"/>
    <x v="9"/>
    <s v="Office Supplies"/>
    <x v="3"/>
    <n v="1"/>
    <n v="17.63"/>
    <x v="3"/>
    <x v="1028"/>
    <n v="1.59"/>
  </r>
  <r>
    <x v="1049"/>
    <x v="300"/>
    <s v="CUST0040"/>
    <s v="Small Business"/>
    <x v="5"/>
    <s v="Lifestyle"/>
    <x v="3"/>
    <n v="2"/>
    <n v="56.02"/>
    <x v="2"/>
    <x v="1029"/>
    <n v="24.99"/>
  </r>
  <r>
    <x v="1050"/>
    <x v="300"/>
    <s v="CUST0018"/>
    <s v="Consumer"/>
    <x v="7"/>
    <s v="Technology"/>
    <x v="0"/>
    <n v="2"/>
    <n v="30.47"/>
    <x v="3"/>
    <x v="1030"/>
    <n v="15.91"/>
  </r>
  <r>
    <x v="1051"/>
    <x v="300"/>
    <s v="CUST0033"/>
    <s v="Consumer"/>
    <x v="0"/>
    <s v="Office Supplies"/>
    <x v="0"/>
    <n v="4"/>
    <n v="14.5"/>
    <x v="2"/>
    <x v="1031"/>
    <n v="8.2100000000000009"/>
  </r>
  <r>
    <x v="1052"/>
    <x v="301"/>
    <s v="CUST0026"/>
    <s v="Corporate"/>
    <x v="8"/>
    <s v="Furniture"/>
    <x v="0"/>
    <n v="1"/>
    <n v="310.52999999999997"/>
    <x v="2"/>
    <x v="1032"/>
    <n v="65.05"/>
  </r>
  <r>
    <x v="1053"/>
    <x v="301"/>
    <s v="CUST0065"/>
    <s v="Small Business"/>
    <x v="4"/>
    <s v="Technology"/>
    <x v="2"/>
    <n v="3"/>
    <n v="212.12"/>
    <x v="1"/>
    <x v="1033"/>
    <n v="116.75"/>
  </r>
  <r>
    <x v="1054"/>
    <x v="302"/>
    <s v="CUST0268"/>
    <s v="Corporate"/>
    <x v="0"/>
    <s v="Office Supplies"/>
    <x v="2"/>
    <n v="3"/>
    <n v="14.38"/>
    <x v="0"/>
    <x v="1034"/>
    <n v="9.6199999999999992"/>
  </r>
  <r>
    <x v="1055"/>
    <x v="302"/>
    <s v="CUST0092"/>
    <s v="Corporate"/>
    <x v="1"/>
    <s v="Furniture"/>
    <x v="2"/>
    <n v="1"/>
    <n v="187.97"/>
    <x v="2"/>
    <x v="1035"/>
    <n v="45.38"/>
  </r>
  <r>
    <x v="1056"/>
    <x v="302"/>
    <s v="CUST0158"/>
    <s v="Consumer"/>
    <x v="3"/>
    <s v="Furniture"/>
    <x v="2"/>
    <n v="2"/>
    <n v="38.15"/>
    <x v="2"/>
    <x v="1036"/>
    <n v="10.14"/>
  </r>
  <r>
    <x v="1057"/>
    <x v="302"/>
    <s v="CUST0108"/>
    <s v="Consumer"/>
    <x v="4"/>
    <s v="Technology"/>
    <x v="0"/>
    <n v="1"/>
    <n v="208.8"/>
    <x v="0"/>
    <x v="1037"/>
    <n v="17.100000000000001"/>
  </r>
  <r>
    <x v="1058"/>
    <x v="302"/>
    <s v="CUST0060"/>
    <s v="Consumer"/>
    <x v="5"/>
    <s v="Lifestyle"/>
    <x v="2"/>
    <n v="3"/>
    <n v="51.49"/>
    <x v="1"/>
    <x v="1038"/>
    <n v="7.11"/>
  </r>
  <r>
    <x v="1059"/>
    <x v="302"/>
    <s v="CUST0028"/>
    <s v="Consumer"/>
    <x v="8"/>
    <s v="Furniture"/>
    <x v="2"/>
    <n v="2"/>
    <n v="336.13"/>
    <x v="2"/>
    <x v="1039"/>
    <n v="65.319999999999993"/>
  </r>
  <r>
    <x v="1060"/>
    <x v="303"/>
    <s v="CUST0189"/>
    <s v="Small Business"/>
    <x v="2"/>
    <s v="Technology"/>
    <x v="0"/>
    <n v="1"/>
    <n v="81.61"/>
    <x v="0"/>
    <x v="1040"/>
    <n v="13.11"/>
  </r>
  <r>
    <x v="1061"/>
    <x v="303"/>
    <s v="CUST0058"/>
    <s v="Consumer"/>
    <x v="2"/>
    <s v="Technology"/>
    <x v="0"/>
    <n v="1"/>
    <n v="80.040000000000006"/>
    <x v="4"/>
    <x v="1041"/>
    <n v="11.33"/>
  </r>
  <r>
    <x v="1062"/>
    <x v="304"/>
    <s v="CUST0189"/>
    <s v="Corporate"/>
    <x v="7"/>
    <s v="Technology"/>
    <x v="2"/>
    <n v="1"/>
    <n v="26.83"/>
    <x v="1"/>
    <x v="1042"/>
    <n v="3.83"/>
  </r>
  <r>
    <x v="1063"/>
    <x v="304"/>
    <s v="CUST0230"/>
    <s v="Corporate"/>
    <x v="3"/>
    <s v="Furniture"/>
    <x v="0"/>
    <n v="1"/>
    <n v="39.32"/>
    <x v="3"/>
    <x v="1043"/>
    <n v="5.21"/>
  </r>
  <r>
    <x v="1064"/>
    <x v="304"/>
    <s v="CUST0022"/>
    <s v="Consumer"/>
    <x v="2"/>
    <s v="Technology"/>
    <x v="2"/>
    <n v="4"/>
    <n v="77.66"/>
    <x v="0"/>
    <x v="1044"/>
    <n v="51.79"/>
  </r>
  <r>
    <x v="1065"/>
    <x v="304"/>
    <s v="CUST0214"/>
    <s v="Consumer"/>
    <x v="7"/>
    <s v="Technology"/>
    <x v="3"/>
    <n v="1"/>
    <n v="30.26"/>
    <x v="0"/>
    <x v="1045"/>
    <n v="6.74"/>
  </r>
  <r>
    <x v="1066"/>
    <x v="304"/>
    <s v="CUST0062"/>
    <s v="Corporate"/>
    <x v="0"/>
    <s v="Office Supplies"/>
    <x v="2"/>
    <n v="3"/>
    <n v="13.12"/>
    <x v="1"/>
    <x v="1046"/>
    <n v="3.02"/>
  </r>
  <r>
    <x v="1067"/>
    <x v="305"/>
    <s v="CUST0244"/>
    <s v="Consumer"/>
    <x v="1"/>
    <s v="Furniture"/>
    <x v="2"/>
    <n v="2"/>
    <n v="164.9"/>
    <x v="3"/>
    <x v="1047"/>
    <n v="70.73"/>
  </r>
  <r>
    <x v="1068"/>
    <x v="305"/>
    <s v="CUST0175"/>
    <s v="Consumer"/>
    <x v="10"/>
    <s v="Office Supplies"/>
    <x v="1"/>
    <n v="3"/>
    <n v="8.9600000000000009"/>
    <x v="1"/>
    <x v="1048"/>
    <n v="2.73"/>
  </r>
  <r>
    <x v="1069"/>
    <x v="305"/>
    <s v="CUST0175"/>
    <s v="Consumer"/>
    <x v="4"/>
    <s v="Technology"/>
    <x v="0"/>
    <n v="1"/>
    <n v="225"/>
    <x v="3"/>
    <x v="1049"/>
    <n v="43.89"/>
  </r>
  <r>
    <x v="1070"/>
    <x v="306"/>
    <s v="CUST0209"/>
    <s v="Corporate"/>
    <x v="4"/>
    <s v="Technology"/>
    <x v="3"/>
    <n v="1"/>
    <n v="218.51"/>
    <x v="2"/>
    <x v="1050"/>
    <n v="17.45"/>
  </r>
  <r>
    <x v="1071"/>
    <x v="306"/>
    <s v="CUST0055"/>
    <s v="Corporate"/>
    <x v="7"/>
    <s v="Technology"/>
    <x v="1"/>
    <n v="1"/>
    <n v="27.45"/>
    <x v="1"/>
    <x v="1051"/>
    <n v="2.63"/>
  </r>
  <r>
    <x v="1072"/>
    <x v="306"/>
    <s v="CUST0097"/>
    <s v="Corporate"/>
    <x v="10"/>
    <s v="Office Supplies"/>
    <x v="1"/>
    <n v="1"/>
    <n v="9.4600000000000009"/>
    <x v="1"/>
    <x v="1052"/>
    <n v="1.48"/>
  </r>
  <r>
    <x v="1073"/>
    <x v="306"/>
    <s v="CUST0124"/>
    <s v="Consumer"/>
    <x v="5"/>
    <s v="Lifestyle"/>
    <x v="0"/>
    <n v="1"/>
    <n v="52.34"/>
    <x v="3"/>
    <x v="1053"/>
    <n v="4.4800000000000004"/>
  </r>
  <r>
    <x v="1074"/>
    <x v="307"/>
    <s v="CUST0177"/>
    <s v="Corporate"/>
    <x v="2"/>
    <s v="Technology"/>
    <x v="2"/>
    <n v="1"/>
    <n v="71.28"/>
    <x v="3"/>
    <x v="1054"/>
    <n v="18.829999999999998"/>
  </r>
  <r>
    <x v="1075"/>
    <x v="307"/>
    <s v="CUST0065"/>
    <s v="Corporate"/>
    <x v="8"/>
    <s v="Furniture"/>
    <x v="0"/>
    <n v="3"/>
    <n v="317.64999999999998"/>
    <x v="0"/>
    <x v="1055"/>
    <n v="94.56"/>
  </r>
  <r>
    <x v="1076"/>
    <x v="307"/>
    <s v="CUST0293"/>
    <s v="Consumer"/>
    <x v="11"/>
    <s v="Lifestyle"/>
    <x v="0"/>
    <n v="5"/>
    <n v="21.62"/>
    <x v="3"/>
    <x v="1056"/>
    <n v="10.82"/>
  </r>
  <r>
    <x v="1077"/>
    <x v="307"/>
    <s v="CUST0162"/>
    <s v="Corporate"/>
    <x v="0"/>
    <s v="Office Supplies"/>
    <x v="2"/>
    <n v="1"/>
    <n v="13.19"/>
    <x v="3"/>
    <x v="1057"/>
    <n v="2.81"/>
  </r>
  <r>
    <x v="1078"/>
    <x v="308"/>
    <s v="CUST0133"/>
    <s v="Corporate"/>
    <x v="5"/>
    <s v="Lifestyle"/>
    <x v="3"/>
    <n v="2"/>
    <n v="52.36"/>
    <x v="0"/>
    <x v="1058"/>
    <n v="8.91"/>
  </r>
  <r>
    <x v="1079"/>
    <x v="308"/>
    <s v="CUST0143"/>
    <s v="Consumer"/>
    <x v="6"/>
    <s v="Technology"/>
    <x v="0"/>
    <n v="1"/>
    <n v="997.72"/>
    <x v="2"/>
    <x v="1059"/>
    <n v="81.61"/>
  </r>
  <r>
    <x v="1080"/>
    <x v="308"/>
    <s v="CUST0141"/>
    <s v="Corporate"/>
    <x v="10"/>
    <s v="Office Supplies"/>
    <x v="0"/>
    <n v="1"/>
    <n v="8.8800000000000008"/>
    <x v="3"/>
    <x v="872"/>
    <n v="0.87"/>
  </r>
  <r>
    <x v="1081"/>
    <x v="308"/>
    <s v="CUST0074"/>
    <s v="Corporate"/>
    <x v="6"/>
    <s v="Technology"/>
    <x v="3"/>
    <n v="2"/>
    <n v="900.64"/>
    <x v="0"/>
    <x v="1060"/>
    <n v="242.39"/>
  </r>
  <r>
    <x v="1082"/>
    <x v="308"/>
    <s v="CUST0193"/>
    <s v="Consumer"/>
    <x v="6"/>
    <s v="Technology"/>
    <x v="3"/>
    <n v="4"/>
    <n v="951.13"/>
    <x v="3"/>
    <x v="1061"/>
    <n v="472.41"/>
  </r>
  <r>
    <x v="1083"/>
    <x v="308"/>
    <s v="CUST0299"/>
    <s v="Small Business"/>
    <x v="3"/>
    <s v="Furniture"/>
    <x v="0"/>
    <n v="1"/>
    <n v="42.07"/>
    <x v="0"/>
    <x v="1062"/>
    <n v="7.97"/>
  </r>
  <r>
    <x v="1084"/>
    <x v="309"/>
    <s v="CUST0168"/>
    <s v="Consumer"/>
    <x v="9"/>
    <s v="Office Supplies"/>
    <x v="2"/>
    <n v="2"/>
    <n v="17.39"/>
    <x v="3"/>
    <x v="1063"/>
    <n v="6.51"/>
  </r>
  <r>
    <x v="1085"/>
    <x v="309"/>
    <s v="CUST0038"/>
    <s v="Consumer"/>
    <x v="3"/>
    <s v="Furniture"/>
    <x v="1"/>
    <n v="2"/>
    <n v="40.49"/>
    <x v="1"/>
    <x v="403"/>
    <n v="12.89"/>
  </r>
  <r>
    <x v="1086"/>
    <x v="309"/>
    <s v="CUST0259"/>
    <s v="Consumer"/>
    <x v="4"/>
    <s v="Technology"/>
    <x v="2"/>
    <n v="3"/>
    <n v="195.33"/>
    <x v="0"/>
    <x v="1064"/>
    <n v="82.38"/>
  </r>
  <r>
    <x v="1087"/>
    <x v="310"/>
    <s v="CUST0293"/>
    <s v="Consumer"/>
    <x v="9"/>
    <s v="Office Supplies"/>
    <x v="0"/>
    <n v="2"/>
    <n v="16.61"/>
    <x v="3"/>
    <x v="1065"/>
    <n v="6.72"/>
  </r>
  <r>
    <x v="1088"/>
    <x v="311"/>
    <s v="CUST0235"/>
    <s v="Small Business"/>
    <x v="7"/>
    <s v="Technology"/>
    <x v="1"/>
    <n v="1"/>
    <n v="28.27"/>
    <x v="1"/>
    <x v="1066"/>
    <n v="2.16"/>
  </r>
  <r>
    <x v="1089"/>
    <x v="311"/>
    <s v="CUST0012"/>
    <s v="Small Business"/>
    <x v="8"/>
    <s v="Furniture"/>
    <x v="2"/>
    <n v="2"/>
    <n v="318.81"/>
    <x v="2"/>
    <x v="1067"/>
    <n v="113.23"/>
  </r>
  <r>
    <x v="1090"/>
    <x v="311"/>
    <s v="CUST0296"/>
    <s v="Consumer"/>
    <x v="11"/>
    <s v="Lifestyle"/>
    <x v="2"/>
    <n v="3"/>
    <n v="22.17"/>
    <x v="2"/>
    <x v="1068"/>
    <n v="7.99"/>
  </r>
  <r>
    <x v="1091"/>
    <x v="311"/>
    <s v="CUST0239"/>
    <s v="Consumer"/>
    <x v="2"/>
    <s v="Technology"/>
    <x v="1"/>
    <n v="2"/>
    <n v="77.319999999999993"/>
    <x v="1"/>
    <x v="1069"/>
    <n v="16.41"/>
  </r>
  <r>
    <x v="1092"/>
    <x v="311"/>
    <s v="CUST0252"/>
    <s v="Small Business"/>
    <x v="4"/>
    <s v="Technology"/>
    <x v="1"/>
    <n v="1"/>
    <n v="221.72"/>
    <x v="2"/>
    <x v="1070"/>
    <n v="25.99"/>
  </r>
  <r>
    <x v="1093"/>
    <x v="312"/>
    <s v="CUST0242"/>
    <s v="Small Business"/>
    <x v="7"/>
    <s v="Technology"/>
    <x v="0"/>
    <n v="2"/>
    <n v="25.74"/>
    <x v="2"/>
    <x v="1071"/>
    <n v="4.59"/>
  </r>
  <r>
    <x v="1094"/>
    <x v="313"/>
    <s v="CUST0170"/>
    <s v="Consumer"/>
    <x v="4"/>
    <s v="Technology"/>
    <x v="1"/>
    <n v="4"/>
    <n v="194.44"/>
    <x v="3"/>
    <x v="1072"/>
    <n v="200.47"/>
  </r>
  <r>
    <x v="1095"/>
    <x v="314"/>
    <s v="CUST0124"/>
    <s v="Consumer"/>
    <x v="7"/>
    <s v="Technology"/>
    <x v="3"/>
    <n v="2"/>
    <n v="26.59"/>
    <x v="3"/>
    <x v="1073"/>
    <n v="8.59"/>
  </r>
  <r>
    <x v="1096"/>
    <x v="314"/>
    <s v="CUST0164"/>
    <s v="Consumer"/>
    <x v="5"/>
    <s v="Lifestyle"/>
    <x v="2"/>
    <n v="2"/>
    <n v="56.96"/>
    <x v="1"/>
    <x v="1074"/>
    <n v="12.09"/>
  </r>
  <r>
    <x v="1097"/>
    <x v="314"/>
    <s v="CUST0137"/>
    <s v="Small Business"/>
    <x v="8"/>
    <s v="Furniture"/>
    <x v="0"/>
    <n v="1"/>
    <n v="345.85"/>
    <x v="0"/>
    <x v="1075"/>
    <n v="43.75"/>
  </r>
  <r>
    <x v="1098"/>
    <x v="315"/>
    <s v="CUST0207"/>
    <s v="Small Business"/>
    <x v="9"/>
    <s v="Office Supplies"/>
    <x v="0"/>
    <n v="1"/>
    <n v="19.23"/>
    <x v="1"/>
    <x v="1076"/>
    <n v="1.93"/>
  </r>
  <r>
    <x v="1099"/>
    <x v="315"/>
    <s v="CUST0224"/>
    <s v="Small Business"/>
    <x v="6"/>
    <s v="Technology"/>
    <x v="2"/>
    <n v="1"/>
    <n v="1041.52"/>
    <x v="1"/>
    <x v="1077"/>
    <n v="107.7"/>
  </r>
  <r>
    <x v="1100"/>
    <x v="316"/>
    <s v="CUST0104"/>
    <s v="Consumer"/>
    <x v="1"/>
    <s v="Furniture"/>
    <x v="1"/>
    <n v="1"/>
    <n v="184.4"/>
    <x v="3"/>
    <x v="1078"/>
    <n v="49.21"/>
  </r>
  <r>
    <x v="1101"/>
    <x v="317"/>
    <s v="CUST0139"/>
    <s v="Consumer"/>
    <x v="6"/>
    <s v="Technology"/>
    <x v="1"/>
    <n v="1"/>
    <n v="890.71"/>
    <x v="4"/>
    <x v="1079"/>
    <n v="54.62"/>
  </r>
  <r>
    <x v="1102"/>
    <x v="317"/>
    <s v="CUST0279"/>
    <s v="Consumer"/>
    <x v="11"/>
    <s v="Lifestyle"/>
    <x v="3"/>
    <n v="2"/>
    <n v="20.100000000000001"/>
    <x v="1"/>
    <x v="1080"/>
    <n v="5.18"/>
  </r>
  <r>
    <x v="1103"/>
    <x v="317"/>
    <s v="CUST0228"/>
    <s v="Corporate"/>
    <x v="0"/>
    <s v="Office Supplies"/>
    <x v="3"/>
    <n v="1"/>
    <n v="12.63"/>
    <x v="3"/>
    <x v="1081"/>
    <n v="3.43"/>
  </r>
  <r>
    <x v="1104"/>
    <x v="317"/>
    <s v="CUST0028"/>
    <s v="Small Business"/>
    <x v="2"/>
    <s v="Technology"/>
    <x v="1"/>
    <n v="4"/>
    <n v="70.099999999999994"/>
    <x v="2"/>
    <x v="1082"/>
    <n v="67.760000000000005"/>
  </r>
  <r>
    <x v="1105"/>
    <x v="318"/>
    <s v="CUST0203"/>
    <s v="Consumer"/>
    <x v="2"/>
    <s v="Technology"/>
    <x v="1"/>
    <n v="4"/>
    <n v="71.58"/>
    <x v="2"/>
    <x v="1083"/>
    <n v="38.92"/>
  </r>
  <r>
    <x v="1106"/>
    <x v="318"/>
    <s v="CUST0264"/>
    <s v="Consumer"/>
    <x v="3"/>
    <s v="Furniture"/>
    <x v="2"/>
    <n v="2"/>
    <n v="38.93"/>
    <x v="2"/>
    <x v="1084"/>
    <n v="7.16"/>
  </r>
  <r>
    <x v="1107"/>
    <x v="318"/>
    <s v="CUST0078"/>
    <s v="Small Business"/>
    <x v="6"/>
    <s v="Technology"/>
    <x v="3"/>
    <n v="1"/>
    <n v="1003.3"/>
    <x v="1"/>
    <x v="1085"/>
    <n v="166.24"/>
  </r>
  <r>
    <x v="1108"/>
    <x v="319"/>
    <s v="CUST0251"/>
    <s v="Corporate"/>
    <x v="11"/>
    <s v="Lifestyle"/>
    <x v="3"/>
    <n v="1"/>
    <n v="19.86"/>
    <x v="3"/>
    <x v="1086"/>
    <n v="3.73"/>
  </r>
  <r>
    <x v="1109"/>
    <x v="320"/>
    <s v="CUST0214"/>
    <s v="Consumer"/>
    <x v="11"/>
    <s v="Lifestyle"/>
    <x v="0"/>
    <n v="5"/>
    <n v="22.68"/>
    <x v="3"/>
    <x v="1087"/>
    <n v="19.11"/>
  </r>
  <r>
    <x v="1110"/>
    <x v="320"/>
    <s v="CUST0122"/>
    <s v="Corporate"/>
    <x v="9"/>
    <s v="Office Supplies"/>
    <x v="0"/>
    <n v="2"/>
    <n v="19.23"/>
    <x v="1"/>
    <x v="1088"/>
    <n v="5.86"/>
  </r>
  <r>
    <x v="1111"/>
    <x v="320"/>
    <s v="CUST0189"/>
    <s v="Small Business"/>
    <x v="10"/>
    <s v="Office Supplies"/>
    <x v="1"/>
    <n v="2"/>
    <n v="8.8000000000000007"/>
    <x v="0"/>
    <x v="1089"/>
    <n v="2.37"/>
  </r>
  <r>
    <x v="1112"/>
    <x v="321"/>
    <s v="CUST0090"/>
    <s v="Small Business"/>
    <x v="4"/>
    <s v="Technology"/>
    <x v="0"/>
    <n v="2"/>
    <n v="200.99"/>
    <x v="2"/>
    <x v="1090"/>
    <n v="49.35"/>
  </r>
  <r>
    <x v="1113"/>
    <x v="321"/>
    <s v="CUST0105"/>
    <s v="Corporate"/>
    <x v="7"/>
    <s v="Technology"/>
    <x v="2"/>
    <n v="5"/>
    <n v="29.14"/>
    <x v="3"/>
    <x v="1091"/>
    <n v="18.14"/>
  </r>
  <r>
    <x v="1114"/>
    <x v="322"/>
    <s v="CUST0196"/>
    <s v="Corporate"/>
    <x v="10"/>
    <s v="Office Supplies"/>
    <x v="1"/>
    <n v="2"/>
    <n v="9.61"/>
    <x v="3"/>
    <x v="1092"/>
    <n v="2.73"/>
  </r>
  <r>
    <x v="1115"/>
    <x v="322"/>
    <s v="CUST0063"/>
    <s v="Consumer"/>
    <x v="5"/>
    <s v="Lifestyle"/>
    <x v="0"/>
    <n v="1"/>
    <n v="59.24"/>
    <x v="0"/>
    <x v="1093"/>
    <n v="5.46"/>
  </r>
  <r>
    <x v="1116"/>
    <x v="322"/>
    <s v="CUST0096"/>
    <s v="Consumer"/>
    <x v="0"/>
    <s v="Office Supplies"/>
    <x v="1"/>
    <n v="3"/>
    <n v="12.6"/>
    <x v="3"/>
    <x v="1094"/>
    <n v="6.89"/>
  </r>
  <r>
    <x v="1117"/>
    <x v="323"/>
    <s v="CUST0025"/>
    <s v="Consumer"/>
    <x v="6"/>
    <s v="Technology"/>
    <x v="2"/>
    <n v="2"/>
    <n v="984.61"/>
    <x v="3"/>
    <x v="1095"/>
    <n v="531.65"/>
  </r>
  <r>
    <x v="1118"/>
    <x v="323"/>
    <s v="CUST0169"/>
    <s v="Small Business"/>
    <x v="2"/>
    <s v="Technology"/>
    <x v="0"/>
    <n v="5"/>
    <n v="72.08"/>
    <x v="3"/>
    <x v="1096"/>
    <n v="63.84"/>
  </r>
  <r>
    <x v="1119"/>
    <x v="323"/>
    <s v="CUST0201"/>
    <s v="Corporate"/>
    <x v="7"/>
    <s v="Technology"/>
    <x v="3"/>
    <n v="3"/>
    <n v="30.43"/>
    <x v="1"/>
    <x v="1097"/>
    <n v="9.31"/>
  </r>
  <r>
    <x v="1120"/>
    <x v="323"/>
    <s v="CUST0151"/>
    <s v="Corporate"/>
    <x v="0"/>
    <s v="Office Supplies"/>
    <x v="3"/>
    <n v="1"/>
    <n v="14.22"/>
    <x v="3"/>
    <x v="1098"/>
    <n v="2.11"/>
  </r>
  <r>
    <x v="1121"/>
    <x v="323"/>
    <s v="CUST0146"/>
    <s v="Small Business"/>
    <x v="2"/>
    <s v="Technology"/>
    <x v="1"/>
    <n v="1"/>
    <n v="73.28"/>
    <x v="2"/>
    <x v="1099"/>
    <n v="16.850000000000001"/>
  </r>
  <r>
    <x v="1122"/>
    <x v="324"/>
    <s v="CUST0043"/>
    <s v="Consumer"/>
    <x v="10"/>
    <s v="Office Supplies"/>
    <x v="2"/>
    <n v="2"/>
    <n v="8.57"/>
    <x v="2"/>
    <x v="1100"/>
    <n v="3.73"/>
  </r>
  <r>
    <x v="1123"/>
    <x v="325"/>
    <s v="CUST0082"/>
    <s v="Consumer"/>
    <x v="1"/>
    <s v="Furniture"/>
    <x v="3"/>
    <n v="1"/>
    <n v="177.06"/>
    <x v="3"/>
    <x v="1101"/>
    <n v="32.17"/>
  </r>
  <r>
    <x v="1124"/>
    <x v="325"/>
    <s v="CUST0061"/>
    <s v="Corporate"/>
    <x v="5"/>
    <s v="Lifestyle"/>
    <x v="2"/>
    <n v="3"/>
    <n v="56.48"/>
    <x v="2"/>
    <x v="1102"/>
    <n v="13.65"/>
  </r>
  <r>
    <x v="1125"/>
    <x v="325"/>
    <s v="CUST0096"/>
    <s v="Corporate"/>
    <x v="2"/>
    <s v="Technology"/>
    <x v="0"/>
    <n v="3"/>
    <n v="78.34"/>
    <x v="0"/>
    <x v="1103"/>
    <n v="21.33"/>
  </r>
  <r>
    <x v="1126"/>
    <x v="325"/>
    <s v="CUST0102"/>
    <s v="Consumer"/>
    <x v="7"/>
    <s v="Technology"/>
    <x v="1"/>
    <n v="4"/>
    <n v="26.82"/>
    <x v="3"/>
    <x v="1104"/>
    <n v="14.37"/>
  </r>
  <r>
    <x v="1127"/>
    <x v="325"/>
    <s v="CUST0053"/>
    <s v="Small Business"/>
    <x v="6"/>
    <s v="Technology"/>
    <x v="0"/>
    <n v="1"/>
    <n v="868.24"/>
    <x v="1"/>
    <x v="1105"/>
    <n v="35.64"/>
  </r>
  <r>
    <x v="1128"/>
    <x v="325"/>
    <s v="CUST0158"/>
    <s v="Consumer"/>
    <x v="5"/>
    <s v="Lifestyle"/>
    <x v="2"/>
    <n v="4"/>
    <n v="58.49"/>
    <x v="3"/>
    <x v="1106"/>
    <n v="36.53"/>
  </r>
  <r>
    <x v="1129"/>
    <x v="325"/>
    <s v="CUST0102"/>
    <s v="Consumer"/>
    <x v="6"/>
    <s v="Technology"/>
    <x v="0"/>
    <n v="4"/>
    <n v="942.3"/>
    <x v="2"/>
    <x v="1107"/>
    <n v="493.3"/>
  </r>
  <r>
    <x v="1130"/>
    <x v="325"/>
    <s v="CUST0073"/>
    <s v="Small Business"/>
    <x v="3"/>
    <s v="Furniture"/>
    <x v="1"/>
    <n v="1"/>
    <n v="42.61"/>
    <x v="3"/>
    <x v="774"/>
    <n v="10.39"/>
  </r>
  <r>
    <x v="1131"/>
    <x v="325"/>
    <s v="CUST0041"/>
    <s v="Corporate"/>
    <x v="5"/>
    <s v="Lifestyle"/>
    <x v="2"/>
    <n v="2"/>
    <n v="59.67"/>
    <x v="0"/>
    <x v="1108"/>
    <n v="21.69"/>
  </r>
  <r>
    <x v="1132"/>
    <x v="326"/>
    <s v="CUST0045"/>
    <s v="Consumer"/>
    <x v="8"/>
    <s v="Furniture"/>
    <x v="1"/>
    <n v="5"/>
    <n v="316.2"/>
    <x v="2"/>
    <x v="1109"/>
    <n v="240.23"/>
  </r>
  <r>
    <x v="1133"/>
    <x v="327"/>
    <s v="CUST0062"/>
    <s v="Small Business"/>
    <x v="8"/>
    <s v="Furniture"/>
    <x v="0"/>
    <n v="5"/>
    <n v="299.7"/>
    <x v="3"/>
    <x v="1110"/>
    <n v="331.19"/>
  </r>
  <r>
    <x v="1134"/>
    <x v="327"/>
    <s v="CUST0128"/>
    <s v="Corporate"/>
    <x v="0"/>
    <s v="Office Supplies"/>
    <x v="3"/>
    <n v="1"/>
    <n v="14.85"/>
    <x v="2"/>
    <x v="1111"/>
    <n v="1.35"/>
  </r>
  <r>
    <x v="1135"/>
    <x v="327"/>
    <s v="CUST0046"/>
    <s v="Corporate"/>
    <x v="1"/>
    <s v="Furniture"/>
    <x v="0"/>
    <n v="4"/>
    <n v="187.28"/>
    <x v="2"/>
    <x v="1112"/>
    <n v="192.21"/>
  </r>
  <r>
    <x v="1136"/>
    <x v="327"/>
    <s v="CUST0032"/>
    <s v="Consumer"/>
    <x v="0"/>
    <s v="Office Supplies"/>
    <x v="0"/>
    <n v="1"/>
    <n v="13.7"/>
    <x v="3"/>
    <x v="1113"/>
    <n v="2.41"/>
  </r>
  <r>
    <x v="1137"/>
    <x v="327"/>
    <s v="CUST0231"/>
    <s v="Consumer"/>
    <x v="6"/>
    <s v="Technology"/>
    <x v="3"/>
    <n v="3"/>
    <n v="993.51"/>
    <x v="0"/>
    <x v="1114"/>
    <n v="585.16999999999996"/>
  </r>
  <r>
    <x v="1138"/>
    <x v="328"/>
    <s v="CUST0236"/>
    <s v="Small Business"/>
    <x v="7"/>
    <s v="Technology"/>
    <x v="1"/>
    <n v="2"/>
    <n v="26.63"/>
    <x v="3"/>
    <x v="1115"/>
    <n v="7.75"/>
  </r>
  <r>
    <x v="1139"/>
    <x v="328"/>
    <s v="CUST0025"/>
    <s v="Corporate"/>
    <x v="6"/>
    <s v="Technology"/>
    <x v="2"/>
    <n v="3"/>
    <n v="866.23"/>
    <x v="3"/>
    <x v="1116"/>
    <n v="566.89"/>
  </r>
  <r>
    <x v="1140"/>
    <x v="328"/>
    <s v="CUST0017"/>
    <s v="Consumer"/>
    <x v="7"/>
    <s v="Technology"/>
    <x v="2"/>
    <n v="2"/>
    <n v="27.39"/>
    <x v="3"/>
    <x v="1117"/>
    <n v="12.2"/>
  </r>
  <r>
    <x v="1141"/>
    <x v="328"/>
    <s v="CUST0033"/>
    <s v="Corporate"/>
    <x v="0"/>
    <s v="Office Supplies"/>
    <x v="2"/>
    <n v="2"/>
    <n v="14.84"/>
    <x v="3"/>
    <x v="1118"/>
    <n v="6.13"/>
  </r>
  <r>
    <x v="1142"/>
    <x v="329"/>
    <s v="CUST0019"/>
    <s v="Corporate"/>
    <x v="1"/>
    <s v="Furniture"/>
    <x v="3"/>
    <n v="1"/>
    <n v="192.88"/>
    <x v="3"/>
    <x v="1119"/>
    <n v="27.35"/>
  </r>
  <r>
    <x v="1143"/>
    <x v="329"/>
    <s v="CUST0233"/>
    <s v="Consumer"/>
    <x v="10"/>
    <s v="Office Supplies"/>
    <x v="0"/>
    <n v="5"/>
    <n v="9.1"/>
    <x v="4"/>
    <x v="1120"/>
    <n v="8.0399999999999991"/>
  </r>
  <r>
    <x v="1144"/>
    <x v="330"/>
    <s v="CUST0181"/>
    <s v="Small Business"/>
    <x v="6"/>
    <s v="Technology"/>
    <x v="2"/>
    <n v="2"/>
    <n v="1019.79"/>
    <x v="1"/>
    <x v="1121"/>
    <n v="312.64"/>
  </r>
  <r>
    <x v="1145"/>
    <x v="330"/>
    <s v="CUST0161"/>
    <s v="Consumer"/>
    <x v="6"/>
    <s v="Technology"/>
    <x v="1"/>
    <n v="4"/>
    <n v="964.75"/>
    <x v="3"/>
    <x v="1122"/>
    <n v="436.46"/>
  </r>
  <r>
    <x v="1146"/>
    <x v="330"/>
    <s v="CUST0137"/>
    <s v="Corporate"/>
    <x v="5"/>
    <s v="Lifestyle"/>
    <x v="3"/>
    <n v="1"/>
    <n v="58.08"/>
    <x v="2"/>
    <x v="1123"/>
    <n v="10.119999999999999"/>
  </r>
  <r>
    <x v="1147"/>
    <x v="330"/>
    <s v="CUST0291"/>
    <s v="Consumer"/>
    <x v="9"/>
    <s v="Office Supplies"/>
    <x v="3"/>
    <n v="1"/>
    <n v="19.36"/>
    <x v="0"/>
    <x v="1124"/>
    <n v="2.12"/>
  </r>
  <r>
    <x v="1148"/>
    <x v="331"/>
    <s v="CUST0158"/>
    <s v="Consumer"/>
    <x v="6"/>
    <s v="Technology"/>
    <x v="1"/>
    <n v="1"/>
    <n v="930.41"/>
    <x v="2"/>
    <x v="1125"/>
    <n v="191.67"/>
  </r>
  <r>
    <x v="1149"/>
    <x v="331"/>
    <s v="CUST0179"/>
    <s v="Consumer"/>
    <x v="2"/>
    <s v="Technology"/>
    <x v="3"/>
    <n v="2"/>
    <n v="73.239999999999995"/>
    <x v="2"/>
    <x v="1126"/>
    <n v="33.29"/>
  </r>
  <r>
    <x v="1150"/>
    <x v="332"/>
    <s v="CUST0184"/>
    <s v="Corporate"/>
    <x v="8"/>
    <s v="Furniture"/>
    <x v="1"/>
    <n v="1"/>
    <n v="320.68"/>
    <x v="3"/>
    <x v="1127"/>
    <n v="77.25"/>
  </r>
  <r>
    <x v="1151"/>
    <x v="332"/>
    <s v="CUST0294"/>
    <s v="Small Business"/>
    <x v="4"/>
    <s v="Technology"/>
    <x v="2"/>
    <n v="2"/>
    <n v="205.44"/>
    <x v="1"/>
    <x v="1128"/>
    <n v="80.27"/>
  </r>
  <r>
    <x v="1152"/>
    <x v="332"/>
    <s v="CUST0155"/>
    <s v="Consumer"/>
    <x v="4"/>
    <s v="Technology"/>
    <x v="3"/>
    <n v="5"/>
    <n v="202.27"/>
    <x v="3"/>
    <x v="1129"/>
    <n v="144.44"/>
  </r>
  <r>
    <x v="1153"/>
    <x v="332"/>
    <s v="CUST0067"/>
    <s v="Consumer"/>
    <x v="0"/>
    <s v="Office Supplies"/>
    <x v="3"/>
    <n v="1"/>
    <n v="12.66"/>
    <x v="0"/>
    <x v="1130"/>
    <n v="0.84"/>
  </r>
  <r>
    <x v="1154"/>
    <x v="332"/>
    <s v="CUST0218"/>
    <s v="Consumer"/>
    <x v="10"/>
    <s v="Office Supplies"/>
    <x v="3"/>
    <n v="1"/>
    <n v="8.51"/>
    <x v="1"/>
    <x v="1131"/>
    <n v="0.77"/>
  </r>
  <r>
    <x v="1155"/>
    <x v="333"/>
    <s v="CUST0049"/>
    <s v="Corporate"/>
    <x v="8"/>
    <s v="Furniture"/>
    <x v="0"/>
    <n v="1"/>
    <n v="314.11"/>
    <x v="1"/>
    <x v="1132"/>
    <n v="33.049999999999997"/>
  </r>
  <r>
    <x v="1156"/>
    <x v="333"/>
    <s v="CUST0185"/>
    <s v="Small Business"/>
    <x v="8"/>
    <s v="Furniture"/>
    <x v="0"/>
    <n v="1"/>
    <n v="321.83999999999997"/>
    <x v="3"/>
    <x v="1133"/>
    <n v="62.49"/>
  </r>
  <r>
    <x v="1157"/>
    <x v="333"/>
    <s v="CUST0029"/>
    <s v="Consumer"/>
    <x v="6"/>
    <s v="Technology"/>
    <x v="0"/>
    <n v="2"/>
    <n v="982.49"/>
    <x v="3"/>
    <x v="1134"/>
    <n v="453.49"/>
  </r>
  <r>
    <x v="1158"/>
    <x v="333"/>
    <s v="CUST0201"/>
    <s v="Consumer"/>
    <x v="11"/>
    <s v="Lifestyle"/>
    <x v="1"/>
    <n v="3"/>
    <n v="22.82"/>
    <x v="3"/>
    <x v="1135"/>
    <n v="6.43"/>
  </r>
  <r>
    <x v="1159"/>
    <x v="333"/>
    <s v="CUST0173"/>
    <s v="Small Business"/>
    <x v="1"/>
    <s v="Furniture"/>
    <x v="2"/>
    <n v="1"/>
    <n v="165.73"/>
    <x v="1"/>
    <x v="1136"/>
    <n v="31.22"/>
  </r>
  <r>
    <x v="1160"/>
    <x v="333"/>
    <s v="CUST0081"/>
    <s v="Corporate"/>
    <x v="5"/>
    <s v="Lifestyle"/>
    <x v="2"/>
    <n v="3"/>
    <n v="49.95"/>
    <x v="2"/>
    <x v="1137"/>
    <n v="18.670000000000002"/>
  </r>
  <r>
    <x v="1161"/>
    <x v="334"/>
    <s v="CUST0174"/>
    <s v="Small Business"/>
    <x v="5"/>
    <s v="Lifestyle"/>
    <x v="1"/>
    <n v="5"/>
    <n v="57.47"/>
    <x v="3"/>
    <x v="1138"/>
    <n v="53.96"/>
  </r>
  <r>
    <x v="1162"/>
    <x v="334"/>
    <s v="CUST0032"/>
    <s v="Corporate"/>
    <x v="9"/>
    <s v="Office Supplies"/>
    <x v="2"/>
    <n v="5"/>
    <n v="18.16"/>
    <x v="2"/>
    <x v="1139"/>
    <n v="12.81"/>
  </r>
  <r>
    <x v="1163"/>
    <x v="334"/>
    <s v="CUST0163"/>
    <s v="Corporate"/>
    <x v="3"/>
    <s v="Furniture"/>
    <x v="2"/>
    <n v="1"/>
    <n v="42.23"/>
    <x v="2"/>
    <x v="1140"/>
    <n v="8.1"/>
  </r>
  <r>
    <x v="1164"/>
    <x v="334"/>
    <s v="CUST0149"/>
    <s v="Small Business"/>
    <x v="7"/>
    <s v="Technology"/>
    <x v="2"/>
    <n v="1"/>
    <n v="26.72"/>
    <x v="0"/>
    <x v="1141"/>
    <n v="2.41"/>
  </r>
  <r>
    <x v="1165"/>
    <x v="334"/>
    <s v="CUST0227"/>
    <s v="Small Business"/>
    <x v="3"/>
    <s v="Furniture"/>
    <x v="3"/>
    <n v="2"/>
    <n v="39.159999999999997"/>
    <x v="2"/>
    <x v="1142"/>
    <n v="15.31"/>
  </r>
  <r>
    <x v="1166"/>
    <x v="335"/>
    <s v="CUST0095"/>
    <s v="Corporate"/>
    <x v="3"/>
    <s v="Furniture"/>
    <x v="2"/>
    <n v="3"/>
    <n v="44.35"/>
    <x v="2"/>
    <x v="1143"/>
    <n v="8.8000000000000007"/>
  </r>
  <r>
    <x v="1167"/>
    <x v="335"/>
    <s v="CUST0216"/>
    <s v="Consumer"/>
    <x v="4"/>
    <s v="Technology"/>
    <x v="0"/>
    <n v="3"/>
    <n v="218.56"/>
    <x v="3"/>
    <x v="1144"/>
    <n v="179.69"/>
  </r>
  <r>
    <x v="1168"/>
    <x v="335"/>
    <s v="CUST0022"/>
    <s v="Small Business"/>
    <x v="0"/>
    <s v="Office Supplies"/>
    <x v="3"/>
    <n v="2"/>
    <n v="14.35"/>
    <x v="2"/>
    <x v="842"/>
    <n v="7.03"/>
  </r>
  <r>
    <x v="1169"/>
    <x v="336"/>
    <s v="CUST0289"/>
    <s v="Consumer"/>
    <x v="5"/>
    <s v="Lifestyle"/>
    <x v="3"/>
    <n v="3"/>
    <n v="60.37"/>
    <x v="0"/>
    <x v="1145"/>
    <n v="21.67"/>
  </r>
  <r>
    <x v="1170"/>
    <x v="336"/>
    <s v="CUST0152"/>
    <s v="Consumer"/>
    <x v="7"/>
    <s v="Technology"/>
    <x v="1"/>
    <n v="3"/>
    <n v="27.84"/>
    <x v="2"/>
    <x v="1146"/>
    <n v="6.42"/>
  </r>
  <r>
    <x v="1171"/>
    <x v="336"/>
    <s v="CUST0221"/>
    <s v="Consumer"/>
    <x v="0"/>
    <s v="Office Supplies"/>
    <x v="2"/>
    <n v="4"/>
    <n v="13.54"/>
    <x v="2"/>
    <x v="1147"/>
    <n v="11.82"/>
  </r>
  <r>
    <x v="1172"/>
    <x v="337"/>
    <s v="CUST0015"/>
    <s v="Small Business"/>
    <x v="3"/>
    <s v="Furniture"/>
    <x v="2"/>
    <n v="1"/>
    <n v="39.6"/>
    <x v="2"/>
    <x v="530"/>
    <n v="5.07"/>
  </r>
  <r>
    <x v="1173"/>
    <x v="338"/>
    <s v="CUST0251"/>
    <s v="Consumer"/>
    <x v="2"/>
    <s v="Technology"/>
    <x v="0"/>
    <n v="1"/>
    <n v="68.83"/>
    <x v="2"/>
    <x v="1148"/>
    <n v="7.33"/>
  </r>
  <r>
    <x v="1174"/>
    <x v="339"/>
    <s v="CUST0010"/>
    <s v="Consumer"/>
    <x v="11"/>
    <s v="Lifestyle"/>
    <x v="3"/>
    <n v="3"/>
    <n v="20.92"/>
    <x v="3"/>
    <x v="1149"/>
    <n v="12.8"/>
  </r>
  <r>
    <x v="1175"/>
    <x v="339"/>
    <s v="CUST0211"/>
    <s v="Consumer"/>
    <x v="10"/>
    <s v="Office Supplies"/>
    <x v="1"/>
    <n v="1"/>
    <n v="9.16"/>
    <x v="3"/>
    <x v="1150"/>
    <n v="1.69"/>
  </r>
  <r>
    <x v="1176"/>
    <x v="339"/>
    <s v="CUST0009"/>
    <s v="Consumer"/>
    <x v="3"/>
    <s v="Furniture"/>
    <x v="3"/>
    <n v="1"/>
    <n v="40.15"/>
    <x v="0"/>
    <x v="1151"/>
    <n v="3.46"/>
  </r>
  <r>
    <x v="1177"/>
    <x v="340"/>
    <s v="CUST0116"/>
    <s v="Small Business"/>
    <x v="5"/>
    <s v="Lifestyle"/>
    <x v="0"/>
    <n v="1"/>
    <n v="50.13"/>
    <x v="3"/>
    <x v="1152"/>
    <n v="11.7"/>
  </r>
  <r>
    <x v="1178"/>
    <x v="340"/>
    <s v="CUST0294"/>
    <s v="Consumer"/>
    <x v="7"/>
    <s v="Technology"/>
    <x v="3"/>
    <n v="2"/>
    <n v="30.52"/>
    <x v="3"/>
    <x v="1153"/>
    <n v="16.850000000000001"/>
  </r>
  <r>
    <x v="1179"/>
    <x v="340"/>
    <s v="CUST0128"/>
    <s v="Small Business"/>
    <x v="7"/>
    <s v="Technology"/>
    <x v="2"/>
    <n v="1"/>
    <n v="28.48"/>
    <x v="0"/>
    <x v="1154"/>
    <n v="2.63"/>
  </r>
  <r>
    <x v="1180"/>
    <x v="341"/>
    <s v="CUST0231"/>
    <s v="Small Business"/>
    <x v="9"/>
    <s v="Office Supplies"/>
    <x v="3"/>
    <n v="1"/>
    <n v="17.78"/>
    <x v="2"/>
    <x v="1155"/>
    <n v="3.74"/>
  </r>
  <r>
    <x v="1181"/>
    <x v="341"/>
    <s v="CUST0258"/>
    <s v="Consumer"/>
    <x v="0"/>
    <s v="Office Supplies"/>
    <x v="1"/>
    <n v="1"/>
    <n v="12.8"/>
    <x v="2"/>
    <x v="1156"/>
    <n v="2.8"/>
  </r>
  <r>
    <x v="1182"/>
    <x v="341"/>
    <s v="CUST0146"/>
    <s v="Small Business"/>
    <x v="10"/>
    <s v="Office Supplies"/>
    <x v="3"/>
    <n v="5"/>
    <n v="8.41"/>
    <x v="2"/>
    <x v="1157"/>
    <n v="5.07"/>
  </r>
  <r>
    <x v="1183"/>
    <x v="342"/>
    <s v="CUST0022"/>
    <s v="Consumer"/>
    <x v="0"/>
    <s v="Office Supplies"/>
    <x v="1"/>
    <n v="3"/>
    <n v="12.6"/>
    <x v="1"/>
    <x v="1158"/>
    <n v="7.78"/>
  </r>
  <r>
    <x v="1184"/>
    <x v="342"/>
    <s v="CUST0287"/>
    <s v="Consumer"/>
    <x v="3"/>
    <s v="Furniture"/>
    <x v="0"/>
    <n v="2"/>
    <n v="38.369999999999997"/>
    <x v="2"/>
    <x v="1159"/>
    <n v="17.309999999999999"/>
  </r>
  <r>
    <x v="1185"/>
    <x v="343"/>
    <s v="CUST0082"/>
    <s v="Consumer"/>
    <x v="10"/>
    <s v="Office Supplies"/>
    <x v="3"/>
    <n v="5"/>
    <n v="9.09"/>
    <x v="3"/>
    <x v="1160"/>
    <n v="12.53"/>
  </r>
  <r>
    <x v="1186"/>
    <x v="343"/>
    <s v="CUST0125"/>
    <s v="Corporate"/>
    <x v="1"/>
    <s v="Furniture"/>
    <x v="0"/>
    <n v="2"/>
    <n v="166.85"/>
    <x v="2"/>
    <x v="1161"/>
    <n v="54.04"/>
  </r>
  <r>
    <x v="1187"/>
    <x v="343"/>
    <s v="CUST0144"/>
    <s v="Consumer"/>
    <x v="4"/>
    <s v="Technology"/>
    <x v="0"/>
    <n v="2"/>
    <n v="203.43"/>
    <x v="1"/>
    <x v="1162"/>
    <n v="79.44"/>
  </r>
  <r>
    <x v="1188"/>
    <x v="344"/>
    <s v="CUST0278"/>
    <s v="Corporate"/>
    <x v="5"/>
    <s v="Lifestyle"/>
    <x v="3"/>
    <n v="2"/>
    <n v="55.92"/>
    <x v="0"/>
    <x v="1163"/>
    <n v="7.05"/>
  </r>
  <r>
    <x v="1189"/>
    <x v="345"/>
    <s v="CUST0273"/>
    <s v="Corporate"/>
    <x v="10"/>
    <s v="Office Supplies"/>
    <x v="1"/>
    <n v="2"/>
    <n v="9.35"/>
    <x v="3"/>
    <x v="1164"/>
    <n v="2.9"/>
  </r>
  <r>
    <x v="1190"/>
    <x v="345"/>
    <s v="CUST0046"/>
    <s v="Consumer"/>
    <x v="1"/>
    <s v="Furniture"/>
    <x v="1"/>
    <n v="3"/>
    <n v="180.27"/>
    <x v="1"/>
    <x v="1165"/>
    <n v="24.05"/>
  </r>
  <r>
    <x v="1191"/>
    <x v="346"/>
    <s v="CUST0091"/>
    <s v="Small Business"/>
    <x v="6"/>
    <s v="Technology"/>
    <x v="2"/>
    <n v="2"/>
    <n v="895.61"/>
    <x v="0"/>
    <x v="1166"/>
    <n v="306.45"/>
  </r>
  <r>
    <x v="1192"/>
    <x v="346"/>
    <s v="CUST0014"/>
    <s v="Consumer"/>
    <x v="3"/>
    <s v="Furniture"/>
    <x v="2"/>
    <n v="4"/>
    <n v="41.58"/>
    <x v="0"/>
    <x v="1167"/>
    <n v="8.01"/>
  </r>
  <r>
    <x v="1193"/>
    <x v="346"/>
    <s v="CUST0048"/>
    <s v="Corporate"/>
    <x v="5"/>
    <s v="Lifestyle"/>
    <x v="3"/>
    <n v="2"/>
    <n v="51.73"/>
    <x v="0"/>
    <x v="1168"/>
    <n v="18.55"/>
  </r>
  <r>
    <x v="1194"/>
    <x v="346"/>
    <s v="CUST0164"/>
    <s v="Consumer"/>
    <x v="1"/>
    <s v="Furniture"/>
    <x v="0"/>
    <n v="1"/>
    <n v="166.8"/>
    <x v="3"/>
    <x v="1169"/>
    <n v="35.18"/>
  </r>
  <r>
    <x v="1195"/>
    <x v="346"/>
    <s v="CUST0199"/>
    <s v="Corporate"/>
    <x v="3"/>
    <s v="Furniture"/>
    <x v="2"/>
    <n v="4"/>
    <n v="44.25"/>
    <x v="2"/>
    <x v="1170"/>
    <n v="13.4"/>
  </r>
  <r>
    <x v="1196"/>
    <x v="347"/>
    <s v="CUST0047"/>
    <s v="Consumer"/>
    <x v="6"/>
    <s v="Technology"/>
    <x v="3"/>
    <n v="4"/>
    <n v="925.7"/>
    <x v="3"/>
    <x v="1171"/>
    <n v="858.91"/>
  </r>
  <r>
    <x v="1197"/>
    <x v="347"/>
    <s v="CUST0021"/>
    <s v="Small Business"/>
    <x v="8"/>
    <s v="Furniture"/>
    <x v="3"/>
    <n v="1"/>
    <n v="343.79"/>
    <x v="1"/>
    <x v="1172"/>
    <n v="23.82"/>
  </r>
  <r>
    <x v="1198"/>
    <x v="347"/>
    <s v="CUST0075"/>
    <s v="Small Business"/>
    <x v="2"/>
    <s v="Technology"/>
    <x v="1"/>
    <n v="1"/>
    <n v="81.05"/>
    <x v="0"/>
    <x v="1173"/>
    <n v="6.67"/>
  </r>
  <r>
    <x v="1199"/>
    <x v="347"/>
    <s v="CUST0120"/>
    <s v="Corporate"/>
    <x v="4"/>
    <s v="Technology"/>
    <x v="0"/>
    <n v="1"/>
    <n v="229.72"/>
    <x v="3"/>
    <x v="1174"/>
    <n v="51.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00513"/>
    <d v="2025-01-01T00:00:00"/>
    <s v="CUST0188"/>
    <s v="Consumer"/>
    <s v="Notebook Set"/>
    <s v="Office Supplies"/>
    <s v="South"/>
    <n v="1"/>
    <n v="14.59"/>
    <n v="0.1"/>
    <n v="13.13"/>
    <n v="1.32"/>
    <n v="1.4590000000000001"/>
  </r>
  <r>
    <s v="ORD00054"/>
    <d v="2025-01-01T00:00:00"/>
    <s v="CUST0156"/>
    <s v="Consumer"/>
    <s v="Office Chair"/>
    <s v="Furniture"/>
    <s v="East"/>
    <n v="3"/>
    <n v="196.51"/>
    <n v="0.15"/>
    <n v="501.11"/>
    <n v="30.16"/>
    <n v="88.42949999999999"/>
  </r>
  <r>
    <s v="ORD00159"/>
    <d v="2025-01-01T00:00:00"/>
    <s v="CUST0063"/>
    <s v="Small Business"/>
    <s v="Mechanical Keyboard"/>
    <s v="Technology"/>
    <s v="West"/>
    <n v="3"/>
    <n v="72.73"/>
    <n v="0.05"/>
    <n v="207.28"/>
    <n v="20.69"/>
    <n v="10.909500000000001"/>
  </r>
  <r>
    <s v="ORD00321"/>
    <d v="2025-01-01T00:00:00"/>
    <s v="CUST0245"/>
    <s v="Small Business"/>
    <s v="Desk Lamp"/>
    <s v="Furniture"/>
    <s v="North"/>
    <n v="1"/>
    <n v="38.24"/>
    <n v="0"/>
    <n v="38.24"/>
    <n v="4.1500000000000004"/>
    <n v="0"/>
  </r>
  <r>
    <s v="ORD00874"/>
    <d v="2025-01-01T00:00:00"/>
    <s v="CUST0251"/>
    <s v="Consumer"/>
    <s v="Mechanical Keyboard"/>
    <s v="Technology"/>
    <s v="South"/>
    <n v="2"/>
    <n v="76.98"/>
    <n v="0.05"/>
    <n v="146.26"/>
    <n v="17.079999999999998"/>
    <n v="7.6980000000000004"/>
  </r>
  <r>
    <s v="ORD00527"/>
    <d v="2025-01-01T00:00:00"/>
    <s v="CUST0074"/>
    <s v="Consumer"/>
    <s v="24-inch Monitor"/>
    <s v="Technology"/>
    <s v="East"/>
    <n v="1"/>
    <n v="223.2"/>
    <n v="0.05"/>
    <n v="212.04"/>
    <n v="31.37"/>
    <n v="11.16"/>
  </r>
  <r>
    <s v="ORD00939"/>
    <d v="2025-01-01T00:00:00"/>
    <s v="CUST0132"/>
    <s v="Corporate"/>
    <s v="Backpack"/>
    <s v="Lifestyle"/>
    <s v="South"/>
    <n v="3"/>
    <n v="55"/>
    <n v="0.2"/>
    <n v="131.99"/>
    <n v="7.81"/>
    <n v="33"/>
  </r>
  <r>
    <s v="ORD00713"/>
    <d v="2025-01-02T00:00:00"/>
    <s v="CUST0167"/>
    <s v="Consumer"/>
    <s v="Desk Lamp"/>
    <s v="Furniture"/>
    <s v="East"/>
    <n v="3"/>
    <n v="43.31"/>
    <n v="0"/>
    <n v="129.93"/>
    <n v="19.260000000000002"/>
    <n v="0"/>
  </r>
  <r>
    <s v="ORD00786"/>
    <d v="2025-01-02T00:00:00"/>
    <s v="CUST0207"/>
    <s v="Consumer"/>
    <s v="Notebook Set"/>
    <s v="Office Supplies"/>
    <s v="West"/>
    <n v="2"/>
    <n v="14.91"/>
    <n v="0.1"/>
    <n v="26.84"/>
    <n v="1.85"/>
    <n v="2.9820000000000002"/>
  </r>
  <r>
    <s v="ORD00650"/>
    <d v="2025-01-02T00:00:00"/>
    <s v="CUST0025"/>
    <s v="Consumer"/>
    <s v="Desk Lamp"/>
    <s v="Furniture"/>
    <s v="East"/>
    <n v="5"/>
    <n v="43.8"/>
    <n v="0.15"/>
    <n v="186.13"/>
    <n v="38.36"/>
    <n v="32.85"/>
  </r>
  <r>
    <s v="ORD00167"/>
    <d v="2025-01-02T00:00:00"/>
    <s v="CUST0241"/>
    <s v="Small Business"/>
    <s v="Laptop Pro 14"/>
    <s v="Technology"/>
    <s v="West"/>
    <n v="2"/>
    <n v="1018.29"/>
    <n v="0"/>
    <n v="2036.58"/>
    <n v="488.69"/>
    <n v="0"/>
  </r>
  <r>
    <s v="ORD00365"/>
    <d v="2025-01-02T00:00:00"/>
    <s v="CUST0166"/>
    <s v="Small Business"/>
    <s v="Wireless Mouse"/>
    <s v="Technology"/>
    <s v="South"/>
    <n v="2"/>
    <n v="26.72"/>
    <n v="0.1"/>
    <n v="48.1"/>
    <n v="9.6"/>
    <n v="5.3440000000000003"/>
  </r>
  <r>
    <s v="ORD00302"/>
    <d v="2025-01-03T00:00:00"/>
    <s v="CUST0156"/>
    <s v="Consumer"/>
    <s v="Standing Desk"/>
    <s v="Furniture"/>
    <s v="South"/>
    <n v="1"/>
    <n v="361.76"/>
    <n v="0.15"/>
    <n v="307.49"/>
    <n v="60.55"/>
    <n v="54.263999999999996"/>
  </r>
  <r>
    <s v="ORD00322"/>
    <d v="2025-01-03T00:00:00"/>
    <s v="CUST0032"/>
    <s v="Corporate"/>
    <s v="Laptop Pro 14"/>
    <s v="Technology"/>
    <s v="East"/>
    <n v="2"/>
    <n v="949.29"/>
    <n v="0.15"/>
    <n v="1613.79"/>
    <n v="209.69"/>
    <n v="284.78699999999998"/>
  </r>
  <r>
    <s v="ORD00603"/>
    <d v="2025-01-03T00:00:00"/>
    <s v="CUST0046"/>
    <s v="Small Business"/>
    <s v="Notebook Set"/>
    <s v="Office Supplies"/>
    <s v="South"/>
    <n v="1"/>
    <n v="14.63"/>
    <n v="0.1"/>
    <n v="13.17"/>
    <n v="2.87"/>
    <n v="1.4630000000000001"/>
  </r>
  <r>
    <s v="ORD00027"/>
    <d v="2025-01-04T00:00:00"/>
    <s v="CUST0037"/>
    <s v="Consumer"/>
    <s v="Mechanical Keyboard"/>
    <s v="Technology"/>
    <s v="West"/>
    <n v="5"/>
    <n v="71.69"/>
    <n v="0.05"/>
    <n v="340.54"/>
    <n v="82.95"/>
    <n v="17.922499999999999"/>
  </r>
  <r>
    <s v="ORD00297"/>
    <d v="2025-01-04T00:00:00"/>
    <s v="CUST0017"/>
    <s v="Consumer"/>
    <s v="File Organizer"/>
    <s v="Office Supplies"/>
    <s v="West"/>
    <n v="2"/>
    <n v="18.52"/>
    <n v="0.1"/>
    <n v="33.340000000000003"/>
    <n v="5.52"/>
    <n v="3.7040000000000002"/>
  </r>
  <r>
    <s v="ORD00114"/>
    <d v="2025-01-04T00:00:00"/>
    <s v="CUST0251"/>
    <s v="Corporate"/>
    <s v="Standing Desk"/>
    <s v="Furniture"/>
    <s v="South"/>
    <n v="4"/>
    <n v="312.38"/>
    <n v="0.1"/>
    <n v="1124.55"/>
    <n v="63.91"/>
    <n v="124.952"/>
  </r>
  <r>
    <s v="ORD00175"/>
    <d v="2025-01-05T00:00:00"/>
    <s v="CUST0130"/>
    <s v="Corporate"/>
    <s v="Backpack"/>
    <s v="Lifestyle"/>
    <s v="North"/>
    <n v="4"/>
    <n v="55.36"/>
    <n v="0.1"/>
    <n v="199.31"/>
    <n v="24.89"/>
    <n v="22.144000000000002"/>
  </r>
  <r>
    <s v="ORD01199"/>
    <d v="2025-01-05T00:00:00"/>
    <s v="CUST0153"/>
    <s v="Corporate"/>
    <s v="Wireless Mouse"/>
    <s v="Technology"/>
    <s v="East"/>
    <n v="1"/>
    <n v="29.75"/>
    <n v="0.15"/>
    <n v="25.29"/>
    <n v="1.57"/>
    <n v="4.4624999999999995"/>
  </r>
  <r>
    <s v="ORD00682"/>
    <d v="2025-01-06T00:00:00"/>
    <s v="CUST0273"/>
    <s v="Small Business"/>
    <s v="Backpack"/>
    <s v="Lifestyle"/>
    <s v="South"/>
    <n v="2"/>
    <n v="53.72"/>
    <n v="0"/>
    <n v="107.45"/>
    <n v="18.149999999999999"/>
    <n v="0"/>
  </r>
  <r>
    <s v="ORD01032"/>
    <d v="2025-01-07T00:00:00"/>
    <s v="CUST0084"/>
    <s v="Corporate"/>
    <s v="Wireless Mouse"/>
    <s v="Technology"/>
    <s v="North"/>
    <n v="1"/>
    <n v="25.99"/>
    <n v="0.2"/>
    <n v="20.8"/>
    <n v="1.79"/>
    <n v="5.1980000000000004"/>
  </r>
  <r>
    <s v="ORD00055"/>
    <d v="2025-01-08T00:00:00"/>
    <s v="CUST0145"/>
    <s v="Consumer"/>
    <s v="File Organizer"/>
    <s v="Office Supplies"/>
    <s v="North"/>
    <n v="1"/>
    <n v="16.48"/>
    <n v="0.05"/>
    <n v="15.66"/>
    <n v="4.07"/>
    <n v="0.82400000000000007"/>
  </r>
  <r>
    <s v="ORD00157"/>
    <d v="2025-01-08T00:00:00"/>
    <s v="CUST0119"/>
    <s v="Corporate"/>
    <s v="Wireless Mouse"/>
    <s v="Technology"/>
    <s v="North"/>
    <n v="1"/>
    <n v="30.59"/>
    <n v="0"/>
    <n v="30.59"/>
    <n v="4.01"/>
    <n v="0"/>
  </r>
  <r>
    <s v="ORD00142"/>
    <d v="2025-01-09T00:00:00"/>
    <s v="CUST0111"/>
    <s v="Corporate"/>
    <s v="Standing Desk"/>
    <s v="Furniture"/>
    <s v="East"/>
    <n v="1"/>
    <n v="359.53"/>
    <n v="0.15"/>
    <n v="305.60000000000002"/>
    <n v="50.4"/>
    <n v="53.929499999999997"/>
  </r>
  <r>
    <s v="ORD00686"/>
    <d v="2025-01-09T00:00:00"/>
    <s v="CUST0065"/>
    <s v="Corporate"/>
    <s v="Laptop Pro 14"/>
    <s v="Technology"/>
    <s v="West"/>
    <n v="2"/>
    <n v="860.57"/>
    <n v="0.1"/>
    <n v="1549.02"/>
    <n v="280.33999999999997"/>
    <n v="172.11400000000003"/>
  </r>
  <r>
    <s v="ORD00766"/>
    <d v="2025-01-09T00:00:00"/>
    <s v="CUST0172"/>
    <s v="Small Business"/>
    <s v="Standing Desk"/>
    <s v="Furniture"/>
    <s v="South"/>
    <n v="2"/>
    <n v="323.66000000000003"/>
    <n v="0.05"/>
    <n v="614.96"/>
    <n v="101.11"/>
    <n v="32.366000000000007"/>
  </r>
  <r>
    <s v="ORD00123"/>
    <d v="2025-01-09T00:00:00"/>
    <s v="CUST0037"/>
    <s v="Corporate"/>
    <s v="Notebook Set"/>
    <s v="Office Supplies"/>
    <s v="West"/>
    <n v="1"/>
    <n v="12.61"/>
    <n v="0"/>
    <n v="12.61"/>
    <n v="2.76"/>
    <n v="0"/>
  </r>
  <r>
    <s v="ORD01033"/>
    <d v="2025-01-10T00:00:00"/>
    <s v="CUST0077"/>
    <s v="Consumer"/>
    <s v="Wireless Mouse"/>
    <s v="Technology"/>
    <s v="South"/>
    <n v="1"/>
    <n v="30.46"/>
    <n v="0.1"/>
    <n v="27.41"/>
    <n v="5.43"/>
    <n v="3.0460000000000003"/>
  </r>
  <r>
    <s v="ORD01048"/>
    <d v="2025-01-10T00:00:00"/>
    <s v="CUST0036"/>
    <s v="Consumer"/>
    <s v="Office Chair"/>
    <s v="Furniture"/>
    <s v="West"/>
    <n v="4"/>
    <n v="195.5"/>
    <n v="0.15"/>
    <n v="664.71"/>
    <n v="68.19"/>
    <n v="117.3"/>
  </r>
  <r>
    <s v="ORD00492"/>
    <d v="2025-01-10T00:00:00"/>
    <s v="CUST0137"/>
    <s v="Consumer"/>
    <s v="Printer Paper"/>
    <s v="Office Supplies"/>
    <s v="North"/>
    <n v="2"/>
    <n v="8.1199999999999992"/>
    <n v="0.1"/>
    <n v="14.62"/>
    <n v="2.7"/>
    <n v="1.6239999999999999"/>
  </r>
  <r>
    <s v="ORD00039"/>
    <d v="2025-01-10T00:00:00"/>
    <s v="CUST0004"/>
    <s v="Consumer"/>
    <s v="Standing Desk"/>
    <s v="Furniture"/>
    <s v="East"/>
    <n v="1"/>
    <n v="330.21"/>
    <n v="0.1"/>
    <n v="297.19"/>
    <n v="67.290000000000006"/>
    <n v="33.021000000000001"/>
  </r>
  <r>
    <s v="ORD01054"/>
    <d v="2025-01-10T00:00:00"/>
    <s v="CUST0036"/>
    <s v="Consumer"/>
    <s v="Notebook Set"/>
    <s v="Office Supplies"/>
    <s v="East"/>
    <n v="4"/>
    <n v="13.23"/>
    <n v="0"/>
    <n v="52.94"/>
    <n v="9.33"/>
    <n v="0"/>
  </r>
  <r>
    <s v="ORD00501"/>
    <d v="2025-01-10T00:00:00"/>
    <s v="CUST0026"/>
    <s v="Small Business"/>
    <s v="Wireless Mouse"/>
    <s v="Technology"/>
    <s v="South"/>
    <n v="1"/>
    <n v="27.04"/>
    <n v="0.15"/>
    <n v="22.98"/>
    <n v="1.22"/>
    <n v="4.056"/>
  </r>
  <r>
    <s v="ORD00471"/>
    <d v="2025-01-11T00:00:00"/>
    <s v="CUST0185"/>
    <s v="Consumer"/>
    <s v="24-inch Monitor"/>
    <s v="Technology"/>
    <s v="North"/>
    <n v="2"/>
    <n v="198.16"/>
    <n v="0"/>
    <n v="396.33"/>
    <n v="105.85"/>
    <n v="0"/>
  </r>
  <r>
    <s v="ORD00172"/>
    <d v="2025-01-11T00:00:00"/>
    <s v="CUST0042"/>
    <s v="Corporate"/>
    <s v="File Organizer"/>
    <s v="Office Supplies"/>
    <s v="South"/>
    <n v="1"/>
    <n v="17.190000000000001"/>
    <n v="0"/>
    <n v="17.190000000000001"/>
    <n v="3.43"/>
    <n v="0"/>
  </r>
  <r>
    <s v="ORD00139"/>
    <d v="2025-01-11T00:00:00"/>
    <s v="CUST0160"/>
    <s v="Corporate"/>
    <s v="Printer Paper"/>
    <s v="Office Supplies"/>
    <s v="West"/>
    <n v="1"/>
    <n v="8.2899999999999991"/>
    <n v="0.05"/>
    <n v="7.87"/>
    <n v="0.89"/>
    <n v="0.41449999999999998"/>
  </r>
  <r>
    <s v="ORD00688"/>
    <d v="2025-01-11T00:00:00"/>
    <s v="CUST0268"/>
    <s v="Consumer"/>
    <s v="Standing Desk"/>
    <s v="Furniture"/>
    <s v="South"/>
    <n v="1"/>
    <n v="324.35000000000002"/>
    <n v="0"/>
    <n v="324.35000000000002"/>
    <n v="75.41"/>
    <n v="0"/>
  </r>
  <r>
    <s v="ORD00671"/>
    <d v="2025-01-12T00:00:00"/>
    <s v="CUST0262"/>
    <s v="Corporate"/>
    <s v="Wireless Mouse"/>
    <s v="Technology"/>
    <s v="South"/>
    <n v="1"/>
    <n v="30.63"/>
    <n v="0"/>
    <n v="30.63"/>
    <n v="2.59"/>
    <n v="0"/>
  </r>
  <r>
    <s v="ORD00295"/>
    <d v="2025-01-12T00:00:00"/>
    <s v="CUST0045"/>
    <s v="Corporate"/>
    <s v="Water Bottle"/>
    <s v="Lifestyle"/>
    <s v="East"/>
    <n v="4"/>
    <n v="22.21"/>
    <n v="0.1"/>
    <n v="79.94"/>
    <n v="17.739999999999998"/>
    <n v="8.8840000000000003"/>
  </r>
  <r>
    <s v="ORD00144"/>
    <d v="2025-01-12T00:00:00"/>
    <s v="CUST0183"/>
    <s v="Consumer"/>
    <s v="Desk Lamp"/>
    <s v="Furniture"/>
    <s v="East"/>
    <n v="2"/>
    <n v="41.75"/>
    <n v="0"/>
    <n v="83.5"/>
    <n v="19.11"/>
    <n v="0"/>
  </r>
  <r>
    <s v="ORD00561"/>
    <d v="2025-01-12T00:00:00"/>
    <s v="CUST0058"/>
    <s v="Consumer"/>
    <s v="Office Chair"/>
    <s v="Furniture"/>
    <s v="West"/>
    <n v="3"/>
    <n v="195.67"/>
    <n v="0"/>
    <n v="587.02"/>
    <n v="135.18"/>
    <n v="0"/>
  </r>
  <r>
    <s v="ORD00494"/>
    <d v="2025-01-13T00:00:00"/>
    <s v="CUST0117"/>
    <s v="Corporate"/>
    <s v="24-inch Monitor"/>
    <s v="Technology"/>
    <s v="West"/>
    <n v="1"/>
    <n v="191.07"/>
    <n v="0.15"/>
    <n v="162.41"/>
    <n v="13.57"/>
    <n v="28.660499999999999"/>
  </r>
  <r>
    <s v="ORD00388"/>
    <d v="2025-01-13T00:00:00"/>
    <s v="CUST0038"/>
    <s v="Small Business"/>
    <s v="Laptop Pro 14"/>
    <s v="Technology"/>
    <s v="West"/>
    <n v="1"/>
    <n v="944.46"/>
    <n v="0.05"/>
    <n v="897.24"/>
    <n v="179.01"/>
    <n v="47.223000000000006"/>
  </r>
  <r>
    <s v="ORD00762"/>
    <d v="2025-01-13T00:00:00"/>
    <s v="CUST0109"/>
    <s v="Small Business"/>
    <s v="Backpack"/>
    <s v="Lifestyle"/>
    <s v="North"/>
    <n v="1"/>
    <n v="52.91"/>
    <n v="0.1"/>
    <n v="47.62"/>
    <n v="10.77"/>
    <n v="5.2910000000000004"/>
  </r>
  <r>
    <s v="ORD00206"/>
    <d v="2025-01-13T00:00:00"/>
    <s v="CUST0020"/>
    <s v="Consumer"/>
    <s v="Printer Paper"/>
    <s v="Office Supplies"/>
    <s v="East"/>
    <n v="3"/>
    <n v="9.44"/>
    <n v="0"/>
    <n v="28.33"/>
    <n v="3.41"/>
    <n v="0"/>
  </r>
  <r>
    <s v="ORD01099"/>
    <d v="2025-01-13T00:00:00"/>
    <s v="CUST0041"/>
    <s v="Consumer"/>
    <s v="Notebook Set"/>
    <s v="Office Supplies"/>
    <s v="West"/>
    <n v="2"/>
    <n v="13.16"/>
    <n v="0.05"/>
    <n v="25.01"/>
    <n v="2.27"/>
    <n v="1.3160000000000001"/>
  </r>
  <r>
    <s v="ORD00554"/>
    <d v="2025-01-13T00:00:00"/>
    <s v="CUST0140"/>
    <s v="Small Business"/>
    <s v="Notebook Set"/>
    <s v="Office Supplies"/>
    <s v="South"/>
    <n v="3"/>
    <n v="13.16"/>
    <n v="0"/>
    <n v="39.49"/>
    <n v="5.25"/>
    <n v="0"/>
  </r>
  <r>
    <s v="ORD00189"/>
    <d v="2025-01-14T00:00:00"/>
    <s v="CUST0138"/>
    <s v="Corporate"/>
    <s v="Desk Lamp"/>
    <s v="Furniture"/>
    <s v="East"/>
    <n v="1"/>
    <n v="41.84"/>
    <n v="0.05"/>
    <n v="39.75"/>
    <n v="2.96"/>
    <n v="2.0920000000000001"/>
  </r>
  <r>
    <s v="ORD00544"/>
    <d v="2025-01-14T00:00:00"/>
    <s v="CUST0257"/>
    <s v="Corporate"/>
    <s v="File Organizer"/>
    <s v="Office Supplies"/>
    <s v="West"/>
    <n v="1"/>
    <n v="18.809999999999999"/>
    <n v="0"/>
    <n v="18.809999999999999"/>
    <n v="1.96"/>
    <n v="0"/>
  </r>
  <r>
    <s v="ORD00918"/>
    <d v="2025-01-15T00:00:00"/>
    <s v="CUST0270"/>
    <s v="Small Business"/>
    <s v="Printer Paper"/>
    <s v="Office Supplies"/>
    <s v="North"/>
    <n v="1"/>
    <n v="9.33"/>
    <n v="0.1"/>
    <n v="8.4"/>
    <n v="1.75"/>
    <n v="0.93300000000000005"/>
  </r>
  <r>
    <s v="ORD00012"/>
    <d v="2025-01-15T00:00:00"/>
    <s v="CUST0231"/>
    <s v="Consumer"/>
    <s v="File Organizer"/>
    <s v="Office Supplies"/>
    <s v="North"/>
    <n v="1"/>
    <n v="17.329999999999998"/>
    <n v="0.1"/>
    <n v="15.6"/>
    <n v="2.39"/>
    <n v="1.7329999999999999"/>
  </r>
  <r>
    <s v="ORD01078"/>
    <d v="2025-01-16T00:00:00"/>
    <s v="CUST0255"/>
    <s v="Corporate"/>
    <s v="Backpack"/>
    <s v="Lifestyle"/>
    <s v="East"/>
    <n v="3"/>
    <n v="55.75"/>
    <n v="0"/>
    <n v="167.24"/>
    <n v="46.21"/>
    <n v="0"/>
  </r>
  <r>
    <s v="ORD00466"/>
    <d v="2025-01-16T00:00:00"/>
    <s v="CUST0132"/>
    <s v="Consumer"/>
    <s v="Mechanical Keyboard"/>
    <s v="Technology"/>
    <s v="North"/>
    <n v="2"/>
    <n v="81.59"/>
    <n v="0"/>
    <n v="163.19"/>
    <n v="37.700000000000003"/>
    <n v="0"/>
  </r>
  <r>
    <s v="ORD00984"/>
    <d v="2025-01-16T00:00:00"/>
    <s v="CUST0165"/>
    <s v="Consumer"/>
    <s v="Notebook Set"/>
    <s v="Office Supplies"/>
    <s v="South"/>
    <n v="2"/>
    <n v="12.97"/>
    <n v="0"/>
    <n v="25.94"/>
    <n v="6.67"/>
    <n v="0"/>
  </r>
  <r>
    <s v="ORD00040"/>
    <d v="2025-01-16T00:00:00"/>
    <s v="CUST0033"/>
    <s v="Small Business"/>
    <s v="Notebook Set"/>
    <s v="Office Supplies"/>
    <s v="West"/>
    <n v="4"/>
    <n v="14.84"/>
    <n v="0.1"/>
    <n v="53.43"/>
    <n v="10.25"/>
    <n v="5.9359999999999999"/>
  </r>
  <r>
    <s v="ORD00484"/>
    <d v="2025-01-16T00:00:00"/>
    <s v="CUST0065"/>
    <s v="Consumer"/>
    <s v="Backpack"/>
    <s v="Lifestyle"/>
    <s v="East"/>
    <n v="1"/>
    <n v="59.94"/>
    <n v="0"/>
    <n v="59.94"/>
    <n v="15.34"/>
    <n v="0"/>
  </r>
  <r>
    <s v="ORD00354"/>
    <d v="2025-01-17T00:00:00"/>
    <s v="CUST0171"/>
    <s v="Corporate"/>
    <s v="Desk Lamp"/>
    <s v="Furniture"/>
    <s v="North"/>
    <n v="3"/>
    <n v="45.79"/>
    <n v="0.1"/>
    <n v="123.64"/>
    <n v="26.1"/>
    <n v="13.737000000000002"/>
  </r>
  <r>
    <s v="ORD00541"/>
    <d v="2025-01-18T00:00:00"/>
    <s v="CUST0053"/>
    <s v="Corporate"/>
    <s v="Backpack"/>
    <s v="Lifestyle"/>
    <s v="West"/>
    <n v="1"/>
    <n v="55.61"/>
    <n v="0"/>
    <n v="55.61"/>
    <n v="10.94"/>
    <n v="0"/>
  </r>
  <r>
    <s v="ORD01174"/>
    <d v="2025-01-18T00:00:00"/>
    <s v="CUST0117"/>
    <s v="Consumer"/>
    <s v="Mechanical Keyboard"/>
    <s v="Technology"/>
    <s v="West"/>
    <n v="3"/>
    <n v="67.88"/>
    <n v="0.05"/>
    <n v="193.47"/>
    <n v="48.57"/>
    <n v="10.182"/>
  </r>
  <r>
    <s v="ORD00584"/>
    <d v="2025-01-18T00:00:00"/>
    <s v="CUST0038"/>
    <s v="Corporate"/>
    <s v="Water Bottle"/>
    <s v="Lifestyle"/>
    <s v="North"/>
    <n v="4"/>
    <n v="22.96"/>
    <n v="0.05"/>
    <n v="87.25"/>
    <n v="12.76"/>
    <n v="4.5920000000000005"/>
  </r>
  <r>
    <s v="ORD00343"/>
    <d v="2025-01-18T00:00:00"/>
    <s v="CUST0088"/>
    <s v="Small Business"/>
    <s v="Wireless Mouse"/>
    <s v="Technology"/>
    <s v="South"/>
    <n v="2"/>
    <n v="28.51"/>
    <n v="0"/>
    <n v="57.01"/>
    <n v="9.2100000000000009"/>
    <n v="0"/>
  </r>
  <r>
    <s v="ORD00029"/>
    <d v="2025-01-18T00:00:00"/>
    <s v="CUST0127"/>
    <s v="Small Business"/>
    <s v="Printer Paper"/>
    <s v="Office Supplies"/>
    <s v="South"/>
    <n v="4"/>
    <n v="8.48"/>
    <n v="0"/>
    <n v="33.9"/>
    <n v="7.26"/>
    <n v="0"/>
  </r>
  <r>
    <s v="ORD01057"/>
    <d v="2025-01-18T00:00:00"/>
    <s v="CUST0245"/>
    <s v="Corporate"/>
    <s v="Desk Lamp"/>
    <s v="Furniture"/>
    <s v="South"/>
    <n v="2"/>
    <n v="41.37"/>
    <n v="0.1"/>
    <n v="74.47"/>
    <n v="11.08"/>
    <n v="8.2739999999999991"/>
  </r>
  <r>
    <s v="ORD00478"/>
    <d v="2025-01-18T00:00:00"/>
    <s v="CUST0232"/>
    <s v="Consumer"/>
    <s v="Water Bottle"/>
    <s v="Lifestyle"/>
    <s v="East"/>
    <n v="1"/>
    <n v="22.62"/>
    <n v="0.1"/>
    <n v="20.36"/>
    <n v="2.85"/>
    <n v="2.262"/>
  </r>
  <r>
    <s v="ORD01098"/>
    <d v="2025-01-18T00:00:00"/>
    <s v="CUST0239"/>
    <s v="Small Business"/>
    <s v="Standing Desk"/>
    <s v="Furniture"/>
    <s v="West"/>
    <n v="1"/>
    <n v="342.08"/>
    <n v="0.2"/>
    <n v="273.66000000000003"/>
    <n v="48.78"/>
    <n v="68.415999999999997"/>
  </r>
  <r>
    <s v="ORD01167"/>
    <d v="2025-01-19T00:00:00"/>
    <s v="CUST0081"/>
    <s v="Consumer"/>
    <s v="Office Chair"/>
    <s v="Furniture"/>
    <s v="North"/>
    <n v="4"/>
    <n v="188.63"/>
    <n v="0.2"/>
    <n v="603.62"/>
    <n v="55.91"/>
    <n v="150.904"/>
  </r>
  <r>
    <s v="ORD00418"/>
    <d v="2025-01-19T00:00:00"/>
    <s v="CUST0145"/>
    <s v="Corporate"/>
    <s v="Water Bottle"/>
    <s v="Lifestyle"/>
    <s v="North"/>
    <n v="2"/>
    <n v="22.8"/>
    <n v="0"/>
    <n v="45.6"/>
    <n v="12.22"/>
    <n v="0"/>
  </r>
  <r>
    <s v="ORD00453"/>
    <d v="2025-01-20T00:00:00"/>
    <s v="CUST0161"/>
    <s v="Consumer"/>
    <s v="Mechanical Keyboard"/>
    <s v="Technology"/>
    <s v="West"/>
    <n v="1"/>
    <n v="77.59"/>
    <n v="0.05"/>
    <n v="73.709999999999994"/>
    <n v="15.23"/>
    <n v="3.8795000000000002"/>
  </r>
  <r>
    <s v="ORD00805"/>
    <d v="2025-01-21T00:00:00"/>
    <s v="CUST0068"/>
    <s v="Corporate"/>
    <s v="Mechanical Keyboard"/>
    <s v="Technology"/>
    <s v="South"/>
    <n v="1"/>
    <n v="68.790000000000006"/>
    <n v="0"/>
    <n v="68.790000000000006"/>
    <n v="15.33"/>
    <n v="0"/>
  </r>
  <r>
    <s v="ORD00875"/>
    <d v="2025-01-21T00:00:00"/>
    <s v="CUST0282"/>
    <s v="Consumer"/>
    <s v="Office Chair"/>
    <s v="Furniture"/>
    <s v="North"/>
    <n v="1"/>
    <n v="169.54"/>
    <n v="0.15"/>
    <n v="144.11000000000001"/>
    <n v="14.81"/>
    <n v="25.430999999999997"/>
  </r>
  <r>
    <s v="ORD00594"/>
    <d v="2025-01-22T00:00:00"/>
    <s v="CUST0181"/>
    <s v="Consumer"/>
    <s v="Water Bottle"/>
    <s v="Lifestyle"/>
    <s v="West"/>
    <n v="2"/>
    <n v="22.85"/>
    <n v="0.1"/>
    <n v="41.13"/>
    <n v="10.66"/>
    <n v="4.57"/>
  </r>
  <r>
    <s v="ORD00728"/>
    <d v="2025-01-22T00:00:00"/>
    <s v="CUST0150"/>
    <s v="Small Business"/>
    <s v="Wireless Mouse"/>
    <s v="Technology"/>
    <s v="West"/>
    <n v="1"/>
    <n v="26.47"/>
    <n v="0"/>
    <n v="26.47"/>
    <n v="3.91"/>
    <n v="0"/>
  </r>
  <r>
    <s v="ORD01109"/>
    <d v="2025-01-23T00:00:00"/>
    <s v="CUST0108"/>
    <s v="Small Business"/>
    <s v="File Organizer"/>
    <s v="Office Supplies"/>
    <s v="East"/>
    <n v="1"/>
    <n v="18.16"/>
    <n v="0"/>
    <n v="18.16"/>
    <n v="4.0199999999999996"/>
    <n v="0"/>
  </r>
  <r>
    <s v="ORD01028"/>
    <d v="2025-01-23T00:00:00"/>
    <s v="CUST0065"/>
    <s v="Consumer"/>
    <s v="Standing Desk"/>
    <s v="Furniture"/>
    <s v="East"/>
    <n v="1"/>
    <n v="336.2"/>
    <n v="0"/>
    <n v="336.2"/>
    <n v="70.3"/>
    <n v="0"/>
  </r>
  <r>
    <s v="ORD00783"/>
    <d v="2025-01-23T00:00:00"/>
    <s v="CUST0079"/>
    <s v="Small Business"/>
    <s v="Notebook Set"/>
    <s v="Office Supplies"/>
    <s v="West"/>
    <n v="1"/>
    <n v="12.88"/>
    <n v="0"/>
    <n v="12.88"/>
    <n v="1.06"/>
    <n v="0"/>
  </r>
  <r>
    <s v="ORD00286"/>
    <d v="2025-01-23T00:00:00"/>
    <s v="CUST0021"/>
    <s v="Corporate"/>
    <s v="Office Chair"/>
    <s v="Furniture"/>
    <s v="East"/>
    <n v="5"/>
    <n v="196.23"/>
    <n v="0.1"/>
    <n v="883.03"/>
    <n v="177.52"/>
    <n v="98.115000000000009"/>
  </r>
  <r>
    <s v="ORD01129"/>
    <d v="2025-01-23T00:00:00"/>
    <s v="CUST0280"/>
    <s v="Corporate"/>
    <s v="Backpack"/>
    <s v="Lifestyle"/>
    <s v="East"/>
    <n v="1"/>
    <n v="58.14"/>
    <n v="0.1"/>
    <n v="52.32"/>
    <n v="5.66"/>
    <n v="5.8140000000000001"/>
  </r>
  <r>
    <s v="ORD00718"/>
    <d v="2025-01-23T00:00:00"/>
    <s v="CUST0051"/>
    <s v="Consumer"/>
    <s v="Water Bottle"/>
    <s v="Lifestyle"/>
    <s v="West"/>
    <n v="1"/>
    <n v="23.01"/>
    <n v="0"/>
    <n v="23.01"/>
    <n v="2.76"/>
    <n v="0"/>
  </r>
  <r>
    <s v="ORD00921"/>
    <d v="2025-01-24T00:00:00"/>
    <s v="CUST0245"/>
    <s v="Corporate"/>
    <s v="24-inch Monitor"/>
    <s v="Technology"/>
    <s v="East"/>
    <n v="1"/>
    <n v="198.73"/>
    <n v="0.05"/>
    <n v="188.79"/>
    <n v="19.38"/>
    <n v="9.9365000000000006"/>
  </r>
  <r>
    <s v="ORD00615"/>
    <d v="2025-01-24T00:00:00"/>
    <s v="CUST0216"/>
    <s v="Consumer"/>
    <s v="24-inch Monitor"/>
    <s v="Technology"/>
    <s v="East"/>
    <n v="5"/>
    <n v="213.35"/>
    <n v="0"/>
    <n v="1066.76"/>
    <n v="120.86"/>
    <n v="0"/>
  </r>
  <r>
    <s v="ORD00847"/>
    <d v="2025-01-24T00:00:00"/>
    <s v="CUST0231"/>
    <s v="Consumer"/>
    <s v="Office Chair"/>
    <s v="Furniture"/>
    <s v="West"/>
    <n v="1"/>
    <n v="187.9"/>
    <n v="0"/>
    <n v="187.9"/>
    <n v="47.15"/>
    <n v="0"/>
  </r>
  <r>
    <s v="ORD00630"/>
    <d v="2025-01-25T00:00:00"/>
    <s v="CUST0047"/>
    <s v="Small Business"/>
    <s v="Mechanical Keyboard"/>
    <s v="Technology"/>
    <s v="North"/>
    <n v="3"/>
    <n v="68.55"/>
    <n v="0"/>
    <n v="205.65"/>
    <n v="18.78"/>
    <n v="0"/>
  </r>
  <r>
    <s v="ORD00355"/>
    <d v="2025-01-25T00:00:00"/>
    <s v="CUST0120"/>
    <s v="Corporate"/>
    <s v="Water Bottle"/>
    <s v="Lifestyle"/>
    <s v="South"/>
    <n v="2"/>
    <n v="20.91"/>
    <n v="0.1"/>
    <n v="37.65"/>
    <n v="2.11"/>
    <n v="4.1820000000000004"/>
  </r>
  <r>
    <s v="ORD00576"/>
    <d v="2025-01-25T00:00:00"/>
    <s v="CUST0277"/>
    <s v="Consumer"/>
    <s v="Backpack"/>
    <s v="Lifestyle"/>
    <s v="South"/>
    <n v="1"/>
    <n v="58.56"/>
    <n v="0.2"/>
    <n v="46.85"/>
    <n v="8.16"/>
    <n v="11.712000000000002"/>
  </r>
  <r>
    <s v="ORD00275"/>
    <d v="2025-01-25T00:00:00"/>
    <s v="CUST0194"/>
    <s v="Consumer"/>
    <s v="Office Chair"/>
    <s v="Furniture"/>
    <s v="East"/>
    <n v="3"/>
    <n v="185.71"/>
    <n v="0.1"/>
    <n v="501.41"/>
    <n v="103.06"/>
    <n v="55.713000000000001"/>
  </r>
  <r>
    <s v="ORD00428"/>
    <d v="2025-01-25T00:00:00"/>
    <s v="CUST0064"/>
    <s v="Consumer"/>
    <s v="Mechanical Keyboard"/>
    <s v="Technology"/>
    <s v="East"/>
    <n v="1"/>
    <n v="80.02"/>
    <n v="0"/>
    <n v="80.02"/>
    <n v="22"/>
    <n v="0"/>
  </r>
  <r>
    <s v="ORD00488"/>
    <d v="2025-01-25T00:00:00"/>
    <s v="CUST0225"/>
    <s v="Corporate"/>
    <s v="File Organizer"/>
    <s v="Office Supplies"/>
    <s v="North"/>
    <n v="1"/>
    <n v="16.29"/>
    <n v="0.1"/>
    <n v="14.66"/>
    <n v="2.46"/>
    <n v="1.629"/>
  </r>
  <r>
    <s v="ORD01023"/>
    <d v="2025-01-25T00:00:00"/>
    <s v="CUST0185"/>
    <s v="Corporate"/>
    <s v="Office Chair"/>
    <s v="Furniture"/>
    <s v="West"/>
    <n v="2"/>
    <n v="171.84"/>
    <n v="0"/>
    <n v="343.68"/>
    <n v="91.05"/>
    <n v="0"/>
  </r>
  <r>
    <s v="ORD00132"/>
    <d v="2025-01-26T00:00:00"/>
    <s v="CUST0288"/>
    <s v="Small Business"/>
    <s v="Wireless Mouse"/>
    <s v="Technology"/>
    <s v="South"/>
    <n v="2"/>
    <n v="26.12"/>
    <n v="0.05"/>
    <n v="49.62"/>
    <n v="11.23"/>
    <n v="2.6120000000000001"/>
  </r>
  <r>
    <s v="ORD00710"/>
    <d v="2025-01-26T00:00:00"/>
    <s v="CUST0165"/>
    <s v="Small Business"/>
    <s v="Desk Lamp"/>
    <s v="Furniture"/>
    <s v="West"/>
    <n v="2"/>
    <n v="43.8"/>
    <n v="0"/>
    <n v="87.6"/>
    <n v="17.93"/>
    <n v="0"/>
  </r>
  <r>
    <s v="ORD00417"/>
    <d v="2025-01-26T00:00:00"/>
    <s v="CUST0044"/>
    <s v="Consumer"/>
    <s v="Office Chair"/>
    <s v="Furniture"/>
    <s v="South"/>
    <n v="2"/>
    <n v="173.96"/>
    <n v="0.1"/>
    <n v="313.12"/>
    <n v="74.510000000000005"/>
    <n v="34.792000000000002"/>
  </r>
  <r>
    <s v="ORD00279"/>
    <d v="2025-01-27T00:00:00"/>
    <s v="CUST0281"/>
    <s v="Consumer"/>
    <s v="Standing Desk"/>
    <s v="Furniture"/>
    <s v="South"/>
    <n v="1"/>
    <n v="361.61"/>
    <n v="0.1"/>
    <n v="325.45"/>
    <n v="58.69"/>
    <n v="36.161000000000001"/>
  </r>
  <r>
    <s v="ORD00959"/>
    <d v="2025-01-27T00:00:00"/>
    <s v="CUST0116"/>
    <s v="Small Business"/>
    <s v="Standing Desk"/>
    <s v="Furniture"/>
    <s v="South"/>
    <n v="1"/>
    <n v="335.56"/>
    <n v="0.05"/>
    <n v="318.77999999999997"/>
    <n v="81.66"/>
    <n v="16.778000000000002"/>
  </r>
  <r>
    <s v="ORD00290"/>
    <d v="2025-01-28T00:00:00"/>
    <s v="CUST0049"/>
    <s v="Consumer"/>
    <s v="Standing Desk"/>
    <s v="Furniture"/>
    <s v="East"/>
    <n v="3"/>
    <n v="355.75"/>
    <n v="0"/>
    <n v="1067.26"/>
    <n v="146.72999999999999"/>
    <n v="0"/>
  </r>
  <r>
    <s v="ORD01115"/>
    <d v="2025-01-28T00:00:00"/>
    <s v="CUST0026"/>
    <s v="Consumer"/>
    <s v="File Organizer"/>
    <s v="Office Supplies"/>
    <s v="East"/>
    <n v="2"/>
    <n v="18.309999999999999"/>
    <n v="0.1"/>
    <n v="32.950000000000003"/>
    <n v="8.49"/>
    <n v="3.6619999999999999"/>
  </r>
  <r>
    <s v="ORD01082"/>
    <d v="2025-01-28T00:00:00"/>
    <s v="CUST0015"/>
    <s v="Corporate"/>
    <s v="Backpack"/>
    <s v="Lifestyle"/>
    <s v="East"/>
    <n v="1"/>
    <n v="53.2"/>
    <n v="0"/>
    <n v="53.2"/>
    <n v="10.3"/>
    <n v="0"/>
  </r>
  <r>
    <s v="ORD00806"/>
    <d v="2025-01-28T00:00:00"/>
    <s v="CUST0129"/>
    <s v="Corporate"/>
    <s v="Office Chair"/>
    <s v="Furniture"/>
    <s v="North"/>
    <n v="2"/>
    <n v="163.98"/>
    <n v="0.1"/>
    <n v="295.17"/>
    <n v="68.489999999999995"/>
    <n v="32.795999999999999"/>
  </r>
  <r>
    <s v="ORD00963"/>
    <d v="2025-01-28T00:00:00"/>
    <s v="CUST0239"/>
    <s v="Corporate"/>
    <s v="Desk Lamp"/>
    <s v="Furniture"/>
    <s v="East"/>
    <n v="1"/>
    <n v="45.5"/>
    <n v="0"/>
    <n v="45.5"/>
    <n v="8.74"/>
    <n v="0"/>
  </r>
  <r>
    <s v="ORD01195"/>
    <d v="2025-01-29T00:00:00"/>
    <s v="CUST0193"/>
    <s v="Small Business"/>
    <s v="File Organizer"/>
    <s v="Office Supplies"/>
    <s v="North"/>
    <n v="1"/>
    <n v="16.46"/>
    <n v="0.1"/>
    <n v="14.81"/>
    <n v="3.05"/>
    <n v="1.6460000000000001"/>
  </r>
  <r>
    <s v="ORD00828"/>
    <d v="2025-01-29T00:00:00"/>
    <s v="CUST0242"/>
    <s v="Consumer"/>
    <s v="Desk Lamp"/>
    <s v="Furniture"/>
    <s v="East"/>
    <n v="2"/>
    <n v="44.84"/>
    <n v="0.15"/>
    <n v="76.22"/>
    <n v="16.260000000000002"/>
    <n v="13.452"/>
  </r>
  <r>
    <s v="ORD00941"/>
    <d v="2025-01-29T00:00:00"/>
    <s v="CUST0031"/>
    <s v="Small Business"/>
    <s v="Desk Lamp"/>
    <s v="Furniture"/>
    <s v="South"/>
    <n v="5"/>
    <n v="41.98"/>
    <n v="0"/>
    <n v="209.9"/>
    <n v="25.78"/>
    <n v="0"/>
  </r>
  <r>
    <s v="ORD01085"/>
    <d v="2025-01-29T00:00:00"/>
    <s v="CUST0036"/>
    <s v="Small Business"/>
    <s v="Standing Desk"/>
    <s v="Furniture"/>
    <s v="North"/>
    <n v="4"/>
    <n v="323.23"/>
    <n v="0.15"/>
    <n v="1099"/>
    <n v="101.68"/>
    <n v="193.93800000000002"/>
  </r>
  <r>
    <s v="ORD00967"/>
    <d v="2025-01-30T00:00:00"/>
    <s v="CUST0254"/>
    <s v="Consumer"/>
    <s v="Notebook Set"/>
    <s v="Office Supplies"/>
    <s v="North"/>
    <n v="2"/>
    <n v="12.68"/>
    <n v="0"/>
    <n v="25.36"/>
    <n v="6.11"/>
    <n v="0"/>
  </r>
  <r>
    <s v="ORD00467"/>
    <d v="2025-01-30T00:00:00"/>
    <s v="CUST0087"/>
    <s v="Corporate"/>
    <s v="Standing Desk"/>
    <s v="Furniture"/>
    <s v="South"/>
    <n v="3"/>
    <n v="315.29000000000002"/>
    <n v="0.1"/>
    <n v="851.27"/>
    <n v="213.93"/>
    <n v="94.587000000000018"/>
  </r>
  <r>
    <s v="ORD00204"/>
    <d v="2025-01-30T00:00:00"/>
    <s v="CUST0003"/>
    <s v="Small Business"/>
    <s v="Desk Lamp"/>
    <s v="Furniture"/>
    <s v="East"/>
    <n v="2"/>
    <n v="42.49"/>
    <n v="0"/>
    <n v="84.98"/>
    <n v="20.59"/>
    <n v="0"/>
  </r>
  <r>
    <s v="ORD00442"/>
    <d v="2025-01-30T00:00:00"/>
    <s v="CUST0042"/>
    <s v="Corporate"/>
    <s v="24-inch Monitor"/>
    <s v="Technology"/>
    <s v="South"/>
    <n v="1"/>
    <n v="198.8"/>
    <n v="0.1"/>
    <n v="178.92"/>
    <n v="32"/>
    <n v="19.880000000000003"/>
  </r>
  <r>
    <s v="ORD00263"/>
    <d v="2025-01-30T00:00:00"/>
    <s v="CUST0285"/>
    <s v="Consumer"/>
    <s v="File Organizer"/>
    <s v="Office Supplies"/>
    <s v="West"/>
    <n v="5"/>
    <n v="19.399999999999999"/>
    <n v="0"/>
    <n v="96.99"/>
    <n v="19.46"/>
    <n v="0"/>
  </r>
  <r>
    <s v="ORD01148"/>
    <d v="2025-01-31T00:00:00"/>
    <s v="CUST0231"/>
    <s v="Small Business"/>
    <s v="Laptop Pro 14"/>
    <s v="Technology"/>
    <s v="South"/>
    <n v="1"/>
    <n v="945.66"/>
    <n v="0.1"/>
    <n v="851.09"/>
    <n v="78.64"/>
    <n v="94.566000000000003"/>
  </r>
  <r>
    <s v="ORD00230"/>
    <d v="2025-02-01T00:00:00"/>
    <s v="CUST0260"/>
    <s v="Corporate"/>
    <s v="Printer Paper"/>
    <s v="Office Supplies"/>
    <s v="West"/>
    <n v="5"/>
    <n v="9.8699999999999992"/>
    <n v="0.05"/>
    <n v="46.89"/>
    <n v="9.44"/>
    <n v="2.4674999999999998"/>
  </r>
  <r>
    <s v="ORD00067"/>
    <d v="2025-02-03T00:00:00"/>
    <s v="CUST0048"/>
    <s v="Corporate"/>
    <s v="Laptop Pro 14"/>
    <s v="Technology"/>
    <s v="South"/>
    <n v="1"/>
    <n v="974.3"/>
    <n v="0.1"/>
    <n v="876.87"/>
    <n v="59.84"/>
    <n v="97.43"/>
  </r>
  <r>
    <s v="ORD01185"/>
    <d v="2025-02-04T00:00:00"/>
    <s v="CUST0032"/>
    <s v="Corporate"/>
    <s v="Desk Lamp"/>
    <s v="Furniture"/>
    <s v="South"/>
    <n v="4"/>
    <n v="40.92"/>
    <n v="0.15"/>
    <n v="139.13"/>
    <n v="11.39"/>
    <n v="24.552"/>
  </r>
  <r>
    <s v="ORD00146"/>
    <d v="2025-02-04T00:00:00"/>
    <s v="CUST0004"/>
    <s v="Consumer"/>
    <s v="Standing Desk"/>
    <s v="Furniture"/>
    <s v="North"/>
    <n v="2"/>
    <n v="344.99"/>
    <n v="0.15"/>
    <n v="586.49"/>
    <n v="115.23"/>
    <n v="103.497"/>
  </r>
  <r>
    <s v="ORD00239"/>
    <d v="2025-02-04T00:00:00"/>
    <s v="CUST0083"/>
    <s v="Consumer"/>
    <s v="Mechanical Keyboard"/>
    <s v="Technology"/>
    <s v="West"/>
    <n v="2"/>
    <n v="78.599999999999994"/>
    <n v="0"/>
    <n v="157.19999999999999"/>
    <n v="41.44"/>
    <n v="0"/>
  </r>
  <r>
    <s v="ORD00011"/>
    <d v="2025-02-04T00:00:00"/>
    <s v="CUST0207"/>
    <s v="Small Business"/>
    <s v="Laptop Pro 14"/>
    <s v="Technology"/>
    <s v="South"/>
    <n v="4"/>
    <n v="899.84"/>
    <n v="0.1"/>
    <n v="3239.41"/>
    <n v="374.5"/>
    <n v="359.93600000000004"/>
  </r>
  <r>
    <s v="ORD00526"/>
    <d v="2025-02-04T00:00:00"/>
    <s v="CUST0105"/>
    <s v="Consumer"/>
    <s v="Mechanical Keyboard"/>
    <s v="Technology"/>
    <s v="North"/>
    <n v="4"/>
    <n v="80.81"/>
    <n v="0.15"/>
    <n v="274.76"/>
    <n v="45.17"/>
    <n v="48.485999999999997"/>
  </r>
  <r>
    <s v="ORD00174"/>
    <d v="2025-02-05T00:00:00"/>
    <s v="CUST0130"/>
    <s v="Corporate"/>
    <s v="Notebook Set"/>
    <s v="Office Supplies"/>
    <s v="East"/>
    <n v="2"/>
    <n v="13.56"/>
    <n v="0.05"/>
    <n v="25.77"/>
    <n v="4.96"/>
    <n v="1.3560000000000001"/>
  </r>
  <r>
    <s v="ORD00525"/>
    <d v="2025-02-05T00:00:00"/>
    <s v="CUST0154"/>
    <s v="Small Business"/>
    <s v="Desk Lamp"/>
    <s v="Furniture"/>
    <s v="South"/>
    <n v="1"/>
    <n v="38.71"/>
    <n v="0.1"/>
    <n v="34.840000000000003"/>
    <n v="8.9"/>
    <n v="3.8710000000000004"/>
  </r>
  <r>
    <s v="ORD00925"/>
    <d v="2025-02-06T00:00:00"/>
    <s v="CUST0143"/>
    <s v="Corporate"/>
    <s v="Standing Desk"/>
    <s v="Furniture"/>
    <s v="North"/>
    <n v="3"/>
    <n v="322.85000000000002"/>
    <n v="0.05"/>
    <n v="920.12"/>
    <n v="174.47"/>
    <n v="48.427500000000009"/>
  </r>
  <r>
    <s v="ORD01086"/>
    <d v="2025-02-06T00:00:00"/>
    <s v="CUST0132"/>
    <s v="Small Business"/>
    <s v="Water Bottle"/>
    <s v="Lifestyle"/>
    <s v="South"/>
    <n v="1"/>
    <n v="23.16"/>
    <n v="0.1"/>
    <n v="20.84"/>
    <n v="4.24"/>
    <n v="2.3160000000000003"/>
  </r>
  <r>
    <s v="ORD00436"/>
    <d v="2025-02-07T00:00:00"/>
    <s v="CUST0075"/>
    <s v="Small Business"/>
    <s v="Standing Desk"/>
    <s v="Furniture"/>
    <s v="West"/>
    <n v="1"/>
    <n v="303.97000000000003"/>
    <n v="0.05"/>
    <n v="288.77"/>
    <n v="22.13"/>
    <n v="15.198500000000003"/>
  </r>
  <r>
    <s v="ORD00748"/>
    <d v="2025-02-07T00:00:00"/>
    <s v="CUST0031"/>
    <s v="Consumer"/>
    <s v="Backpack"/>
    <s v="Lifestyle"/>
    <s v="South"/>
    <n v="2"/>
    <n v="59.41"/>
    <n v="0.05"/>
    <n v="112.88"/>
    <n v="28.85"/>
    <n v="5.9409999999999998"/>
  </r>
  <r>
    <s v="ORD00084"/>
    <d v="2025-02-07T00:00:00"/>
    <s v="CUST0118"/>
    <s v="Consumer"/>
    <s v="Printer Paper"/>
    <s v="Office Supplies"/>
    <s v="South"/>
    <n v="3"/>
    <n v="9.1300000000000008"/>
    <n v="0"/>
    <n v="27.38"/>
    <n v="6.37"/>
    <n v="0"/>
  </r>
  <r>
    <s v="ORD00197"/>
    <d v="2025-02-07T00:00:00"/>
    <s v="CUST0078"/>
    <s v="Small Business"/>
    <s v="Backpack"/>
    <s v="Lifestyle"/>
    <s v="West"/>
    <n v="1"/>
    <n v="56.84"/>
    <n v="0.2"/>
    <n v="45.47"/>
    <n v="2.02"/>
    <n v="11.368000000000002"/>
  </r>
  <r>
    <s v="ORD00402"/>
    <d v="2025-02-07T00:00:00"/>
    <s v="CUST0105"/>
    <s v="Corporate"/>
    <s v="Desk Lamp"/>
    <s v="Furniture"/>
    <s v="East"/>
    <n v="1"/>
    <n v="40.65"/>
    <n v="0.15"/>
    <n v="34.56"/>
    <n v="4.6100000000000003"/>
    <n v="6.0974999999999993"/>
  </r>
  <r>
    <s v="ORD00815"/>
    <d v="2025-02-08T00:00:00"/>
    <s v="CUST0082"/>
    <s v="Corporate"/>
    <s v="Standing Desk"/>
    <s v="Furniture"/>
    <s v="West"/>
    <n v="1"/>
    <n v="329.59"/>
    <n v="0"/>
    <n v="329.59"/>
    <n v="89.75"/>
    <n v="0"/>
  </r>
  <r>
    <s v="ORD00720"/>
    <d v="2025-02-08T00:00:00"/>
    <s v="CUST0253"/>
    <s v="Consumer"/>
    <s v="Desk Lamp"/>
    <s v="Furniture"/>
    <s v="South"/>
    <n v="3"/>
    <n v="43.17"/>
    <n v="0.05"/>
    <n v="123.04"/>
    <n v="16.399999999999999"/>
    <n v="6.4755000000000003"/>
  </r>
  <r>
    <s v="ORD00924"/>
    <d v="2025-02-08T00:00:00"/>
    <s v="CUST0119"/>
    <s v="Consumer"/>
    <s v="Office Chair"/>
    <s v="Furniture"/>
    <s v="North"/>
    <n v="2"/>
    <n v="174.83"/>
    <n v="0"/>
    <n v="349.67"/>
    <n v="39.36"/>
    <n v="0"/>
  </r>
  <r>
    <s v="ORD00679"/>
    <d v="2025-02-08T00:00:00"/>
    <s v="CUST0206"/>
    <s v="Consumer"/>
    <s v="Desk Lamp"/>
    <s v="Furniture"/>
    <s v="South"/>
    <n v="1"/>
    <n v="38.11"/>
    <n v="0.05"/>
    <n v="36.21"/>
    <n v="9.09"/>
    <n v="1.9055"/>
  </r>
  <r>
    <s v="ORD00201"/>
    <d v="2025-02-08T00:00:00"/>
    <s v="CUST0151"/>
    <s v="Corporate"/>
    <s v="Laptop Pro 14"/>
    <s v="Technology"/>
    <s v="South"/>
    <n v="2"/>
    <n v="1040.9000000000001"/>
    <n v="0"/>
    <n v="2081.79"/>
    <n v="478.06"/>
    <n v="0"/>
  </r>
  <r>
    <s v="ORD00256"/>
    <d v="2025-02-08T00:00:00"/>
    <s v="CUST0268"/>
    <s v="Corporate"/>
    <s v="Backpack"/>
    <s v="Lifestyle"/>
    <s v="North"/>
    <n v="3"/>
    <n v="58.62"/>
    <n v="0.05"/>
    <n v="167.06"/>
    <n v="44.2"/>
    <n v="8.7929999999999993"/>
  </r>
  <r>
    <s v="ORD00338"/>
    <d v="2025-02-08T00:00:00"/>
    <s v="CUST0290"/>
    <s v="Consumer"/>
    <s v="Laptop Pro 14"/>
    <s v="Technology"/>
    <s v="West"/>
    <n v="4"/>
    <n v="922.63"/>
    <n v="0"/>
    <n v="3690.54"/>
    <n v="306.92"/>
    <n v="0"/>
  </r>
  <r>
    <s v="ORD00021"/>
    <d v="2025-02-08T00:00:00"/>
    <s v="CUST0144"/>
    <s v="Corporate"/>
    <s v="Wireless Mouse"/>
    <s v="Technology"/>
    <s v="West"/>
    <n v="3"/>
    <n v="28.23"/>
    <n v="0"/>
    <n v="84.7"/>
    <n v="18.559999999999999"/>
    <n v="0"/>
  </r>
  <r>
    <s v="ORD01155"/>
    <d v="2025-02-10T00:00:00"/>
    <s v="CUST0111"/>
    <s v="Small Business"/>
    <s v="Backpack"/>
    <s v="Lifestyle"/>
    <s v="West"/>
    <n v="3"/>
    <n v="58.6"/>
    <n v="0.15"/>
    <n v="149.41999999999999"/>
    <n v="31.91"/>
    <n v="26.37"/>
  </r>
  <r>
    <s v="ORD00907"/>
    <d v="2025-02-10T00:00:00"/>
    <s v="CUST0166"/>
    <s v="Corporate"/>
    <s v="Office Chair"/>
    <s v="Furniture"/>
    <s v="South"/>
    <n v="5"/>
    <n v="175.02"/>
    <n v="0.15"/>
    <n v="743.85"/>
    <n v="33.83"/>
    <n v="131.26499999999999"/>
  </r>
  <r>
    <s v="ORD00010"/>
    <d v="2025-02-10T00:00:00"/>
    <s v="CUST0214"/>
    <s v="Corporate"/>
    <s v="Backpack"/>
    <s v="Lifestyle"/>
    <s v="West"/>
    <n v="1"/>
    <n v="52.92"/>
    <n v="0"/>
    <n v="52.92"/>
    <n v="7.68"/>
    <n v="0"/>
  </r>
  <r>
    <s v="ORD00255"/>
    <d v="2025-02-10T00:00:00"/>
    <s v="CUST0201"/>
    <s v="Corporate"/>
    <s v="Desk Lamp"/>
    <s v="Furniture"/>
    <s v="South"/>
    <n v="2"/>
    <n v="42.83"/>
    <n v="0.15"/>
    <n v="72.81"/>
    <n v="11.27"/>
    <n v="12.848999999999998"/>
  </r>
  <r>
    <s v="ORD00674"/>
    <d v="2025-02-11T00:00:00"/>
    <s v="CUST0100"/>
    <s v="Consumer"/>
    <s v="Backpack"/>
    <s v="Lifestyle"/>
    <s v="South"/>
    <n v="3"/>
    <n v="59.28"/>
    <n v="0.1"/>
    <n v="160.05000000000001"/>
    <n v="31.99"/>
    <n v="17.784000000000002"/>
  </r>
  <r>
    <s v="ORD00727"/>
    <d v="2025-02-11T00:00:00"/>
    <s v="CUST0091"/>
    <s v="Corporate"/>
    <s v="File Organizer"/>
    <s v="Office Supplies"/>
    <s v="East"/>
    <n v="1"/>
    <n v="17.260000000000002"/>
    <n v="0.1"/>
    <n v="15.53"/>
    <n v="2.61"/>
    <n v="1.7260000000000002"/>
  </r>
  <r>
    <s v="ORD00995"/>
    <d v="2025-02-11T00:00:00"/>
    <s v="CUST0273"/>
    <s v="Consumer"/>
    <s v="Laptop Pro 14"/>
    <s v="Technology"/>
    <s v="South"/>
    <n v="1"/>
    <n v="938.3"/>
    <n v="0"/>
    <n v="938.3"/>
    <n v="80.75"/>
    <n v="0"/>
  </r>
  <r>
    <s v="ORD00613"/>
    <d v="2025-02-11T00:00:00"/>
    <s v="CUST0153"/>
    <s v="Corporate"/>
    <s v="24-inch Monitor"/>
    <s v="Technology"/>
    <s v="South"/>
    <n v="1"/>
    <n v="215.03"/>
    <n v="0.1"/>
    <n v="193.53"/>
    <n v="14.09"/>
    <n v="21.503"/>
  </r>
  <r>
    <s v="ORD00579"/>
    <d v="2025-02-11T00:00:00"/>
    <s v="CUST0246"/>
    <s v="Consumer"/>
    <s v="Water Bottle"/>
    <s v="Lifestyle"/>
    <s v="South"/>
    <n v="1"/>
    <n v="22.85"/>
    <n v="0.05"/>
    <n v="21.71"/>
    <n v="4.5999999999999996"/>
    <n v="1.1425000000000001"/>
  </r>
  <r>
    <s v="ORD00377"/>
    <d v="2025-02-12T00:00:00"/>
    <s v="CUST0230"/>
    <s v="Corporate"/>
    <s v="Backpack"/>
    <s v="Lifestyle"/>
    <s v="South"/>
    <n v="4"/>
    <n v="59.99"/>
    <n v="0.1"/>
    <n v="215.96"/>
    <n v="50.22"/>
    <n v="23.996000000000002"/>
  </r>
  <r>
    <s v="ORD01059"/>
    <d v="2025-02-13T00:00:00"/>
    <s v="CUST0140"/>
    <s v="Consumer"/>
    <s v="Mechanical Keyboard"/>
    <s v="Technology"/>
    <s v="North"/>
    <n v="1"/>
    <n v="70.459999999999994"/>
    <n v="0.2"/>
    <n v="56.37"/>
    <n v="7.74"/>
    <n v="14.091999999999999"/>
  </r>
  <r>
    <s v="ORD00673"/>
    <d v="2025-02-13T00:00:00"/>
    <s v="CUST0093"/>
    <s v="Consumer"/>
    <s v="Backpack"/>
    <s v="Lifestyle"/>
    <s v="North"/>
    <n v="3"/>
    <n v="59.62"/>
    <n v="0.05"/>
    <n v="169.92"/>
    <n v="34.299999999999997"/>
    <n v="8.9429999999999996"/>
  </r>
  <r>
    <s v="ORD00549"/>
    <d v="2025-02-13T00:00:00"/>
    <s v="CUST0248"/>
    <s v="Consumer"/>
    <s v="File Organizer"/>
    <s v="Office Supplies"/>
    <s v="West"/>
    <n v="2"/>
    <n v="17.95"/>
    <n v="0.1"/>
    <n v="32.299999999999997"/>
    <n v="2.1800000000000002"/>
    <n v="3.59"/>
  </r>
  <r>
    <s v="ORD00435"/>
    <d v="2025-02-14T00:00:00"/>
    <s v="CUST0231"/>
    <s v="Consumer"/>
    <s v="Mechanical Keyboard"/>
    <s v="Technology"/>
    <s v="East"/>
    <n v="2"/>
    <n v="80.790000000000006"/>
    <n v="0"/>
    <n v="161.58000000000001"/>
    <n v="41.87"/>
    <n v="0"/>
  </r>
  <r>
    <s v="ORD00252"/>
    <d v="2025-02-14T00:00:00"/>
    <s v="CUST0090"/>
    <s v="Corporate"/>
    <s v="Laptop Pro 14"/>
    <s v="Technology"/>
    <s v="South"/>
    <n v="4"/>
    <n v="904.05"/>
    <n v="0.1"/>
    <n v="3254.59"/>
    <n v="636.17999999999995"/>
    <n v="361.62"/>
  </r>
  <r>
    <s v="ORD00912"/>
    <d v="2025-02-14T00:00:00"/>
    <s v="CUST0196"/>
    <s v="Small Business"/>
    <s v="File Organizer"/>
    <s v="Office Supplies"/>
    <s v="South"/>
    <n v="4"/>
    <n v="16.440000000000001"/>
    <n v="0.05"/>
    <n v="62.47"/>
    <n v="4.3"/>
    <n v="3.2880000000000003"/>
  </r>
  <r>
    <s v="ORD00608"/>
    <d v="2025-02-16T00:00:00"/>
    <s v="CUST0217"/>
    <s v="Corporate"/>
    <s v="Notebook Set"/>
    <s v="Office Supplies"/>
    <s v="West"/>
    <n v="4"/>
    <n v="14"/>
    <n v="0.1"/>
    <n v="50.41"/>
    <n v="8.9499999999999993"/>
    <n v="5.6000000000000005"/>
  </r>
  <r>
    <s v="ORD01119"/>
    <d v="2025-02-17T00:00:00"/>
    <s v="CUST0049"/>
    <s v="Small Business"/>
    <s v="Laptop Pro 14"/>
    <s v="Technology"/>
    <s v="South"/>
    <n v="2"/>
    <n v="870.26"/>
    <n v="0.05"/>
    <n v="1653.5"/>
    <n v="375.94"/>
    <n v="87.02600000000001"/>
  </r>
  <r>
    <s v="ORD00361"/>
    <d v="2025-02-17T00:00:00"/>
    <s v="CUST0211"/>
    <s v="Consumer"/>
    <s v="Printer Paper"/>
    <s v="Office Supplies"/>
    <s v="East"/>
    <n v="2"/>
    <n v="8.73"/>
    <n v="0.05"/>
    <n v="16.59"/>
    <n v="3.36"/>
    <n v="0.87300000000000011"/>
  </r>
  <r>
    <s v="ORD01022"/>
    <d v="2025-02-17T00:00:00"/>
    <s v="CUST0269"/>
    <s v="Consumer"/>
    <s v="Mechanical Keyboard"/>
    <s v="Technology"/>
    <s v="West"/>
    <n v="3"/>
    <n v="70.7"/>
    <n v="0"/>
    <n v="212.09"/>
    <n v="43.1"/>
    <n v="0"/>
  </r>
  <r>
    <s v="ORD00946"/>
    <d v="2025-02-17T00:00:00"/>
    <s v="CUST0287"/>
    <s v="Small Business"/>
    <s v="Office Chair"/>
    <s v="Furniture"/>
    <s v="East"/>
    <n v="1"/>
    <n v="171.31"/>
    <n v="0"/>
    <n v="171.31"/>
    <n v="44.56"/>
    <n v="0"/>
  </r>
  <r>
    <s v="ORD01008"/>
    <d v="2025-02-17T00:00:00"/>
    <s v="CUST0255"/>
    <s v="Corporate"/>
    <s v="File Organizer"/>
    <s v="Office Supplies"/>
    <s v="West"/>
    <n v="2"/>
    <n v="18.46"/>
    <n v="0.05"/>
    <n v="35.07"/>
    <n v="7.87"/>
    <n v="1.8460000000000001"/>
  </r>
  <r>
    <s v="ORD00760"/>
    <d v="2025-02-18T00:00:00"/>
    <s v="CUST0111"/>
    <s v="Consumer"/>
    <s v="Desk Lamp"/>
    <s v="Furniture"/>
    <s v="East"/>
    <n v="1"/>
    <n v="44.24"/>
    <n v="0.15"/>
    <n v="37.6"/>
    <n v="4.4800000000000004"/>
    <n v="6.6360000000000001"/>
  </r>
  <r>
    <s v="ORD00244"/>
    <d v="2025-02-19T00:00:00"/>
    <s v="CUST0035"/>
    <s v="Consumer"/>
    <s v="Office Chair"/>
    <s v="Furniture"/>
    <s v="South"/>
    <n v="3"/>
    <n v="166.14"/>
    <n v="0.05"/>
    <n v="473.49"/>
    <n v="39.99"/>
    <n v="24.920999999999999"/>
  </r>
  <r>
    <s v="ORD00639"/>
    <d v="2025-02-19T00:00:00"/>
    <s v="CUST0150"/>
    <s v="Corporate"/>
    <s v="Standing Desk"/>
    <s v="Furniture"/>
    <s v="North"/>
    <n v="3"/>
    <n v="302.39"/>
    <n v="0.1"/>
    <n v="816.46"/>
    <n v="85.56"/>
    <n v="90.716999999999999"/>
  </r>
  <r>
    <s v="ORD00203"/>
    <d v="2025-02-19T00:00:00"/>
    <s v="CUST0023"/>
    <s v="Consumer"/>
    <s v="Mechanical Keyboard"/>
    <s v="Technology"/>
    <s v="North"/>
    <n v="2"/>
    <n v="78.650000000000006"/>
    <n v="0.1"/>
    <n v="141.57"/>
    <n v="26.3"/>
    <n v="15.730000000000002"/>
  </r>
  <r>
    <s v="ORD00482"/>
    <d v="2025-02-20T00:00:00"/>
    <s v="CUST0028"/>
    <s v="Consumer"/>
    <s v="Water Bottle"/>
    <s v="Lifestyle"/>
    <s v="West"/>
    <n v="3"/>
    <n v="23.02"/>
    <n v="0"/>
    <n v="69.05"/>
    <n v="11.32"/>
    <n v="0"/>
  </r>
  <r>
    <s v="ORD00097"/>
    <d v="2025-02-20T00:00:00"/>
    <s v="CUST0165"/>
    <s v="Corporate"/>
    <s v="Laptop Pro 14"/>
    <s v="Technology"/>
    <s v="East"/>
    <n v="3"/>
    <n v="969.61"/>
    <n v="0.2"/>
    <n v="2327.06"/>
    <n v="424.67"/>
    <n v="581.76599999999996"/>
  </r>
  <r>
    <s v="ORD00590"/>
    <d v="2025-02-20T00:00:00"/>
    <s v="CUST0052"/>
    <s v="Corporate"/>
    <s v="Mechanical Keyboard"/>
    <s v="Technology"/>
    <s v="North"/>
    <n v="1"/>
    <n v="80.67"/>
    <n v="0"/>
    <n v="80.67"/>
    <n v="7.9"/>
    <n v="0"/>
  </r>
  <r>
    <s v="ORD00979"/>
    <d v="2025-02-20T00:00:00"/>
    <s v="CUST0263"/>
    <s v="Corporate"/>
    <s v="Mechanical Keyboard"/>
    <s v="Technology"/>
    <s v="West"/>
    <n v="1"/>
    <n v="73.23"/>
    <n v="0.05"/>
    <n v="69.569999999999993"/>
    <n v="12.84"/>
    <n v="3.6615000000000002"/>
  </r>
  <r>
    <s v="ORD00060"/>
    <d v="2025-02-20T00:00:00"/>
    <s v="CUST0118"/>
    <s v="Corporate"/>
    <s v="24-inch Monitor"/>
    <s v="Technology"/>
    <s v="North"/>
    <n v="2"/>
    <n v="193.77"/>
    <n v="0.05"/>
    <n v="368.16"/>
    <n v="74.7"/>
    <n v="19.377000000000002"/>
  </r>
  <r>
    <s v="ORD01102"/>
    <d v="2025-02-21T00:00:00"/>
    <s v="CUST0140"/>
    <s v="Consumer"/>
    <s v="Notebook Set"/>
    <s v="Office Supplies"/>
    <s v="West"/>
    <n v="1"/>
    <n v="15.12"/>
    <n v="0"/>
    <n v="15.12"/>
    <n v="3.73"/>
    <n v="0"/>
  </r>
  <r>
    <s v="ORD00770"/>
    <d v="2025-02-21T00:00:00"/>
    <s v="CUST0070"/>
    <s v="Consumer"/>
    <s v="Backpack"/>
    <s v="Lifestyle"/>
    <s v="South"/>
    <n v="1"/>
    <n v="58.72"/>
    <n v="0"/>
    <n v="58.72"/>
    <n v="12.38"/>
    <n v="0"/>
  </r>
  <r>
    <s v="ORD01043"/>
    <d v="2025-02-21T00:00:00"/>
    <s v="CUST0062"/>
    <s v="Small Business"/>
    <s v="File Organizer"/>
    <s v="Office Supplies"/>
    <s v="North"/>
    <n v="2"/>
    <n v="17.82"/>
    <n v="0.05"/>
    <n v="33.85"/>
    <n v="8.82"/>
    <n v="1.782"/>
  </r>
  <r>
    <s v="ORD01117"/>
    <d v="2025-02-22T00:00:00"/>
    <s v="CUST0286"/>
    <s v="Corporate"/>
    <s v="Mechanical Keyboard"/>
    <s v="Technology"/>
    <s v="West"/>
    <n v="1"/>
    <n v="78.58"/>
    <n v="0"/>
    <n v="78.58"/>
    <n v="18.95"/>
    <n v="0"/>
  </r>
  <r>
    <s v="ORD00281"/>
    <d v="2025-02-22T00:00:00"/>
    <s v="CUST0290"/>
    <s v="Corporate"/>
    <s v="Notebook Set"/>
    <s v="Office Supplies"/>
    <s v="South"/>
    <n v="1"/>
    <n v="14.62"/>
    <n v="0.15"/>
    <n v="12.43"/>
    <n v="1.67"/>
    <n v="2.1929999999999996"/>
  </r>
  <r>
    <s v="ORD01200"/>
    <d v="2025-02-22T00:00:00"/>
    <s v="CUST0015"/>
    <s v="Consumer"/>
    <s v="Office Chair"/>
    <s v="Furniture"/>
    <s v="South"/>
    <n v="2"/>
    <n v="196.78"/>
    <n v="0.05"/>
    <n v="373.87"/>
    <n v="97.91"/>
    <n v="19.678000000000001"/>
  </r>
  <r>
    <s v="ORD01017"/>
    <d v="2025-02-22T00:00:00"/>
    <s v="CUST0043"/>
    <s v="Small Business"/>
    <s v="File Organizer"/>
    <s v="Office Supplies"/>
    <s v="East"/>
    <n v="1"/>
    <n v="19.350000000000001"/>
    <n v="0"/>
    <n v="19.350000000000001"/>
    <n v="1.84"/>
    <n v="0"/>
  </r>
  <r>
    <s v="ORD01024"/>
    <d v="2025-02-23T00:00:00"/>
    <s v="CUST0191"/>
    <s v="Corporate"/>
    <s v="Laptop Pro 14"/>
    <s v="Technology"/>
    <s v="South"/>
    <n v="3"/>
    <n v="883.25"/>
    <n v="0"/>
    <n v="2649.74"/>
    <n v="453.8"/>
    <n v="0"/>
  </r>
  <r>
    <s v="ORD01039"/>
    <d v="2025-02-24T00:00:00"/>
    <s v="CUST0062"/>
    <s v="Corporate"/>
    <s v="Wireless Mouse"/>
    <s v="Technology"/>
    <s v="North"/>
    <n v="1"/>
    <n v="26.08"/>
    <n v="0.1"/>
    <n v="23.47"/>
    <n v="2.65"/>
    <n v="2.6080000000000001"/>
  </r>
  <r>
    <s v="ORD00991"/>
    <d v="2025-02-24T00:00:00"/>
    <s v="CUST0183"/>
    <s v="Corporate"/>
    <s v="24-inch Monitor"/>
    <s v="Technology"/>
    <s v="North"/>
    <n v="3"/>
    <n v="199.6"/>
    <n v="0.1"/>
    <n v="538.91"/>
    <n v="91.83"/>
    <n v="59.879999999999995"/>
  </r>
  <r>
    <s v="ORD00990"/>
    <d v="2025-02-24T00:00:00"/>
    <s v="CUST0248"/>
    <s v="Consumer"/>
    <s v="Backpack"/>
    <s v="Lifestyle"/>
    <s v="South"/>
    <n v="2"/>
    <n v="60.07"/>
    <n v="0.15"/>
    <n v="102.12"/>
    <n v="22.46"/>
    <n v="18.021000000000001"/>
  </r>
  <r>
    <s v="ORD00285"/>
    <d v="2025-02-25T00:00:00"/>
    <s v="CUST0175"/>
    <s v="Consumer"/>
    <s v="Backpack"/>
    <s v="Lifestyle"/>
    <s v="East"/>
    <n v="1"/>
    <n v="59.73"/>
    <n v="0.05"/>
    <n v="56.75"/>
    <n v="13.41"/>
    <n v="2.9864999999999999"/>
  </r>
  <r>
    <s v="ORD00520"/>
    <d v="2025-02-25T00:00:00"/>
    <s v="CUST0179"/>
    <s v="Consumer"/>
    <s v="Desk Lamp"/>
    <s v="Furniture"/>
    <s v="North"/>
    <n v="4"/>
    <n v="44.7"/>
    <n v="0"/>
    <n v="178.79"/>
    <n v="33.78"/>
    <n v="0"/>
  </r>
  <r>
    <s v="ORD00788"/>
    <d v="2025-02-25T00:00:00"/>
    <s v="CUST0293"/>
    <s v="Consumer"/>
    <s v="File Organizer"/>
    <s v="Office Supplies"/>
    <s v="East"/>
    <n v="1"/>
    <n v="18.61"/>
    <n v="0"/>
    <n v="18.61"/>
    <n v="1.49"/>
    <n v="0"/>
  </r>
  <r>
    <s v="ORD01179"/>
    <d v="2025-02-25T00:00:00"/>
    <s v="CUST0044"/>
    <s v="Corporate"/>
    <s v="Wireless Mouse"/>
    <s v="Technology"/>
    <s v="North"/>
    <n v="2"/>
    <n v="30.3"/>
    <n v="0"/>
    <n v="60.59"/>
    <n v="8.5299999999999994"/>
    <n v="0"/>
  </r>
  <r>
    <s v="ORD00774"/>
    <d v="2025-02-26T00:00:00"/>
    <s v="CUST0265"/>
    <s v="Consumer"/>
    <s v="Wireless Mouse"/>
    <s v="Technology"/>
    <s v="West"/>
    <n v="2"/>
    <n v="26.11"/>
    <n v="0.1"/>
    <n v="46.99"/>
    <n v="7.11"/>
    <n v="5.2220000000000004"/>
  </r>
  <r>
    <s v="ORD00223"/>
    <d v="2025-02-26T00:00:00"/>
    <s v="CUST0059"/>
    <s v="Small Business"/>
    <s v="Wireless Mouse"/>
    <s v="Technology"/>
    <s v="North"/>
    <n v="2"/>
    <n v="26.83"/>
    <n v="0.1"/>
    <n v="48.29"/>
    <n v="10.66"/>
    <n v="5.3659999999999997"/>
  </r>
  <r>
    <s v="ORD01065"/>
    <d v="2025-02-26T00:00:00"/>
    <s v="CUST0090"/>
    <s v="Consumer"/>
    <s v="24-inch Monitor"/>
    <s v="Technology"/>
    <s v="East"/>
    <n v="1"/>
    <n v="225.87"/>
    <n v="0"/>
    <n v="225.87"/>
    <n v="52.62"/>
    <n v="0"/>
  </r>
  <r>
    <s v="ORD01150"/>
    <d v="2025-02-27T00:00:00"/>
    <s v="CUST0047"/>
    <s v="Consumer"/>
    <s v="24-inch Monitor"/>
    <s v="Technology"/>
    <s v="East"/>
    <n v="5"/>
    <n v="202.66"/>
    <n v="0"/>
    <n v="1013.3"/>
    <n v="268.2"/>
    <n v="0"/>
  </r>
  <r>
    <s v="ORD00524"/>
    <d v="2025-02-27T00:00:00"/>
    <s v="CUST0097"/>
    <s v="Consumer"/>
    <s v="Standing Desk"/>
    <s v="Furniture"/>
    <s v="West"/>
    <n v="1"/>
    <n v="310.85000000000002"/>
    <n v="0.2"/>
    <n v="248.68"/>
    <n v="18.18"/>
    <n v="62.170000000000009"/>
  </r>
  <r>
    <s v="ORD00298"/>
    <d v="2025-02-28T00:00:00"/>
    <s v="CUST0068"/>
    <s v="Consumer"/>
    <s v="File Organizer"/>
    <s v="Office Supplies"/>
    <s v="North"/>
    <n v="2"/>
    <n v="18.28"/>
    <n v="0.1"/>
    <n v="32.909999999999997"/>
    <n v="2.71"/>
    <n v="3.6560000000000006"/>
  </r>
  <r>
    <s v="ORD00328"/>
    <d v="2025-02-28T00:00:00"/>
    <s v="CUST0141"/>
    <s v="Consumer"/>
    <s v="Laptop Pro 14"/>
    <s v="Technology"/>
    <s v="South"/>
    <n v="3"/>
    <n v="865.75"/>
    <n v="0"/>
    <n v="2597.25"/>
    <n v="402.01"/>
    <n v="0"/>
  </r>
  <r>
    <s v="ORD00155"/>
    <d v="2025-02-28T00:00:00"/>
    <s v="CUST0217"/>
    <s v="Corporate"/>
    <s v="Office Chair"/>
    <s v="Furniture"/>
    <s v="North"/>
    <n v="3"/>
    <n v="179.28"/>
    <n v="0.05"/>
    <n v="510.94"/>
    <n v="107.07"/>
    <n v="26.892000000000003"/>
  </r>
  <r>
    <s v="ORD00711"/>
    <d v="2025-03-02T00:00:00"/>
    <s v="CUST0052"/>
    <s v="Small Business"/>
    <s v="Backpack"/>
    <s v="Lifestyle"/>
    <s v="South"/>
    <n v="3"/>
    <n v="52.15"/>
    <n v="0.1"/>
    <n v="140.80000000000001"/>
    <n v="28.51"/>
    <n v="15.645"/>
  </r>
  <r>
    <s v="ORD00977"/>
    <d v="2025-03-02T00:00:00"/>
    <s v="CUST0102"/>
    <s v="Corporate"/>
    <s v="Laptop Pro 14"/>
    <s v="Technology"/>
    <s v="South"/>
    <n v="1"/>
    <n v="964.86"/>
    <n v="0"/>
    <n v="964.86"/>
    <n v="173.31"/>
    <n v="0"/>
  </r>
  <r>
    <s v="ORD00068"/>
    <d v="2025-03-02T00:00:00"/>
    <s v="CUST0028"/>
    <s v="Small Business"/>
    <s v="Laptop Pro 14"/>
    <s v="Technology"/>
    <s v="South"/>
    <n v="3"/>
    <n v="894.78"/>
    <n v="0"/>
    <n v="2684.33"/>
    <n v="413.64"/>
    <n v="0"/>
  </r>
  <r>
    <s v="ORD00816"/>
    <d v="2025-03-03T00:00:00"/>
    <s v="CUST0242"/>
    <s v="Corporate"/>
    <s v="24-inch Monitor"/>
    <s v="Technology"/>
    <s v="South"/>
    <n v="3"/>
    <n v="219.29"/>
    <n v="0"/>
    <n v="657.87"/>
    <n v="139.18"/>
    <n v="0"/>
  </r>
  <r>
    <s v="ORD00627"/>
    <d v="2025-03-03T00:00:00"/>
    <s v="CUST0196"/>
    <s v="Consumer"/>
    <s v="File Organizer"/>
    <s v="Office Supplies"/>
    <s v="North"/>
    <n v="4"/>
    <n v="19.149999999999999"/>
    <n v="0"/>
    <n v="76.599999999999994"/>
    <n v="21.44"/>
    <n v="0"/>
  </r>
  <r>
    <s v="ORD01044"/>
    <d v="2025-03-03T00:00:00"/>
    <s v="CUST0163"/>
    <s v="Small Business"/>
    <s v="Standing Desk"/>
    <s v="Furniture"/>
    <s v="North"/>
    <n v="2"/>
    <n v="328.08"/>
    <n v="0"/>
    <n v="656.16"/>
    <n v="172.94"/>
    <n v="0"/>
  </r>
  <r>
    <s v="ORD00694"/>
    <d v="2025-03-03T00:00:00"/>
    <s v="CUST0238"/>
    <s v="Corporate"/>
    <s v="Desk Lamp"/>
    <s v="Furniture"/>
    <s v="South"/>
    <n v="1"/>
    <n v="44.1"/>
    <n v="0.05"/>
    <n v="41.9"/>
    <n v="8.5399999999999991"/>
    <n v="2.2050000000000001"/>
  </r>
  <r>
    <s v="ORD01194"/>
    <d v="2025-03-03T00:00:00"/>
    <s v="CUST0254"/>
    <s v="Consumer"/>
    <s v="Mechanical Keyboard"/>
    <s v="Technology"/>
    <s v="West"/>
    <n v="1"/>
    <n v="73.430000000000007"/>
    <n v="0.15"/>
    <n v="62.41"/>
    <n v="8.1999999999999993"/>
    <n v="11.0145"/>
  </r>
  <r>
    <s v="ORD00970"/>
    <d v="2025-03-04T00:00:00"/>
    <s v="CUST0188"/>
    <s v="Corporate"/>
    <s v="Standing Desk"/>
    <s v="Furniture"/>
    <s v="East"/>
    <n v="1"/>
    <n v="322.69"/>
    <n v="0.15"/>
    <n v="274.29000000000002"/>
    <n v="30.11"/>
    <n v="48.403500000000001"/>
  </r>
  <r>
    <s v="ORD00505"/>
    <d v="2025-03-04T00:00:00"/>
    <s v="CUST0099"/>
    <s v="Consumer"/>
    <s v="24-inch Monitor"/>
    <s v="Technology"/>
    <s v="East"/>
    <n v="2"/>
    <n v="230.21"/>
    <n v="0.1"/>
    <n v="414.38"/>
    <n v="98.41"/>
    <n v="46.042000000000002"/>
  </r>
  <r>
    <s v="ORD00082"/>
    <d v="2025-03-04T00:00:00"/>
    <s v="CUST0134"/>
    <s v="Small Business"/>
    <s v="Laptop Pro 14"/>
    <s v="Technology"/>
    <s v="North"/>
    <n v="2"/>
    <n v="1027.23"/>
    <n v="0.05"/>
    <n v="1951.74"/>
    <n v="383.46"/>
    <n v="102.72300000000001"/>
  </r>
  <r>
    <s v="ORD00363"/>
    <d v="2025-03-05T00:00:00"/>
    <s v="CUST0008"/>
    <s v="Corporate"/>
    <s v="File Organizer"/>
    <s v="Office Supplies"/>
    <s v="West"/>
    <n v="2"/>
    <n v="17.91"/>
    <n v="0"/>
    <n v="35.81"/>
    <n v="8"/>
    <n v="0"/>
  </r>
  <r>
    <s v="ORD00552"/>
    <d v="2025-03-05T00:00:00"/>
    <s v="CUST0246"/>
    <s v="Small Business"/>
    <s v="Desk Lamp"/>
    <s v="Furniture"/>
    <s v="South"/>
    <n v="1"/>
    <n v="38.14"/>
    <n v="0.05"/>
    <n v="36.229999999999997"/>
    <n v="5.72"/>
    <n v="1.907"/>
  </r>
  <r>
    <s v="ORD00827"/>
    <d v="2025-03-05T00:00:00"/>
    <s v="CUST0210"/>
    <s v="Small Business"/>
    <s v="Water Bottle"/>
    <s v="Lifestyle"/>
    <s v="South"/>
    <n v="2"/>
    <n v="22.84"/>
    <n v="0"/>
    <n v="45.68"/>
    <n v="8.35"/>
    <n v="0"/>
  </r>
  <r>
    <s v="ORD01153"/>
    <d v="2025-03-05T00:00:00"/>
    <s v="CUST0105"/>
    <s v="Corporate"/>
    <s v="Backpack"/>
    <s v="Lifestyle"/>
    <s v="South"/>
    <n v="3"/>
    <n v="53.55"/>
    <n v="0"/>
    <n v="160.65"/>
    <n v="24.55"/>
    <n v="0"/>
  </r>
  <r>
    <s v="ORD01111"/>
    <d v="2025-03-06T00:00:00"/>
    <s v="CUST0202"/>
    <s v="Corporate"/>
    <s v="Printer Paper"/>
    <s v="Office Supplies"/>
    <s v="South"/>
    <n v="1"/>
    <n v="8.67"/>
    <n v="0.05"/>
    <n v="8.24"/>
    <n v="0.98"/>
    <n v="0.4335"/>
  </r>
  <r>
    <s v="ORD00559"/>
    <d v="2025-03-06T00:00:00"/>
    <s v="CUST0151"/>
    <s v="Corporate"/>
    <s v="24-inch Monitor"/>
    <s v="Technology"/>
    <s v="North"/>
    <n v="1"/>
    <n v="208.68"/>
    <n v="0"/>
    <n v="208.68"/>
    <n v="22.87"/>
    <n v="0"/>
  </r>
  <r>
    <s v="ORD01141"/>
    <d v="2025-03-06T00:00:00"/>
    <s v="CUST0203"/>
    <s v="Corporate"/>
    <s v="Office Chair"/>
    <s v="Furniture"/>
    <s v="East"/>
    <n v="3"/>
    <n v="181.23"/>
    <n v="0.1"/>
    <n v="489.32"/>
    <n v="91.83"/>
    <n v="54.369"/>
  </r>
  <r>
    <s v="ORD00284"/>
    <d v="2025-03-06T00:00:00"/>
    <s v="CUST0112"/>
    <s v="Small Business"/>
    <s v="Water Bottle"/>
    <s v="Lifestyle"/>
    <s v="South"/>
    <n v="1"/>
    <n v="23.72"/>
    <n v="0.1"/>
    <n v="21.35"/>
    <n v="2.95"/>
    <n v="2.3719999999999999"/>
  </r>
  <r>
    <s v="ORD00151"/>
    <d v="2025-03-07T00:00:00"/>
    <s v="CUST0195"/>
    <s v="Consumer"/>
    <s v="Mechanical Keyboard"/>
    <s v="Technology"/>
    <s v="East"/>
    <n v="3"/>
    <n v="82.05"/>
    <n v="0"/>
    <n v="246.14"/>
    <n v="42.03"/>
    <n v="0"/>
  </r>
  <r>
    <s v="ORD01181"/>
    <d v="2025-03-07T00:00:00"/>
    <s v="CUST0275"/>
    <s v="Consumer"/>
    <s v="File Organizer"/>
    <s v="Office Supplies"/>
    <s v="West"/>
    <n v="3"/>
    <n v="18.399999999999999"/>
    <n v="0.05"/>
    <n v="52.45"/>
    <n v="5.38"/>
    <n v="2.76"/>
  </r>
  <r>
    <s v="ORD00604"/>
    <d v="2025-03-07T00:00:00"/>
    <s v="CUST0043"/>
    <s v="Corporate"/>
    <s v="Water Bottle"/>
    <s v="Lifestyle"/>
    <s v="North"/>
    <n v="4"/>
    <n v="22.17"/>
    <n v="0.05"/>
    <n v="84.26"/>
    <n v="9.92"/>
    <n v="4.4340000000000002"/>
  </r>
  <r>
    <s v="ORD00876"/>
    <d v="2025-03-07T00:00:00"/>
    <s v="CUST0265"/>
    <s v="Corporate"/>
    <s v="Desk Lamp"/>
    <s v="Furniture"/>
    <s v="South"/>
    <n v="3"/>
    <n v="45.62"/>
    <n v="0.05"/>
    <n v="130.02000000000001"/>
    <n v="33.82"/>
    <n v="6.843"/>
  </r>
  <r>
    <s v="ORD00148"/>
    <d v="2025-03-07T00:00:00"/>
    <s v="CUST0021"/>
    <s v="Corporate"/>
    <s v="Wireless Mouse"/>
    <s v="Technology"/>
    <s v="West"/>
    <n v="5"/>
    <n v="27.21"/>
    <n v="0"/>
    <n v="136.06"/>
    <n v="21.33"/>
    <n v="0"/>
  </r>
  <r>
    <s v="ORD00834"/>
    <d v="2025-03-08T00:00:00"/>
    <s v="CUST0296"/>
    <s v="Corporate"/>
    <s v="Desk Lamp"/>
    <s v="Furniture"/>
    <s v="East"/>
    <n v="3"/>
    <n v="40.090000000000003"/>
    <n v="0.05"/>
    <n v="114.25"/>
    <n v="11.62"/>
    <n v="6.0135000000000005"/>
  </r>
  <r>
    <s v="ORD00083"/>
    <d v="2025-03-08T00:00:00"/>
    <s v="CUST0157"/>
    <s v="Corporate"/>
    <s v="Desk Lamp"/>
    <s v="Furniture"/>
    <s v="East"/>
    <n v="1"/>
    <n v="41.96"/>
    <n v="0.15"/>
    <n v="35.67"/>
    <n v="6.88"/>
    <n v="6.2939999999999996"/>
  </r>
  <r>
    <s v="ORD00813"/>
    <d v="2025-03-08T00:00:00"/>
    <s v="CUST0097"/>
    <s v="Small Business"/>
    <s v="Backpack"/>
    <s v="Lifestyle"/>
    <s v="West"/>
    <n v="3"/>
    <n v="52.49"/>
    <n v="0"/>
    <n v="157.47"/>
    <n v="19.3"/>
    <n v="0"/>
  </r>
  <r>
    <s v="ORD00768"/>
    <d v="2025-03-09T00:00:00"/>
    <s v="CUST0160"/>
    <s v="Consumer"/>
    <s v="Office Chair"/>
    <s v="Furniture"/>
    <s v="South"/>
    <n v="2"/>
    <n v="182.04"/>
    <n v="0.1"/>
    <n v="327.67"/>
    <n v="68.03"/>
    <n v="36.408000000000001"/>
  </r>
  <r>
    <s v="ORD01080"/>
    <d v="2025-03-09T00:00:00"/>
    <s v="CUST0212"/>
    <s v="Consumer"/>
    <s v="Standing Desk"/>
    <s v="Furniture"/>
    <s v="West"/>
    <n v="2"/>
    <n v="332"/>
    <n v="0.15"/>
    <n v="564.4"/>
    <n v="62.24"/>
    <n v="99.6"/>
  </r>
  <r>
    <s v="ORD00037"/>
    <d v="2025-03-10T00:00:00"/>
    <s v="CUST0047"/>
    <s v="Consumer"/>
    <s v="Standing Desk"/>
    <s v="Furniture"/>
    <s v="East"/>
    <n v="2"/>
    <n v="304.93"/>
    <n v="0"/>
    <n v="609.86"/>
    <n v="90.49"/>
    <n v="0"/>
  </r>
  <r>
    <s v="ORD00171"/>
    <d v="2025-03-10T00:00:00"/>
    <s v="CUST0160"/>
    <s v="Small Business"/>
    <s v="Laptop Pro 14"/>
    <s v="Technology"/>
    <s v="East"/>
    <n v="1"/>
    <n v="859.49"/>
    <n v="0"/>
    <n v="859.49"/>
    <n v="179.11"/>
    <n v="0"/>
  </r>
  <r>
    <s v="ORD00303"/>
    <d v="2025-03-11T00:00:00"/>
    <s v="CUST0089"/>
    <s v="Small Business"/>
    <s v="Printer Paper"/>
    <s v="Office Supplies"/>
    <s v="North"/>
    <n v="5"/>
    <n v="9.8699999999999992"/>
    <n v="0.1"/>
    <n v="44.4"/>
    <n v="7.77"/>
    <n v="4.9349999999999996"/>
  </r>
  <r>
    <s v="ORD00550"/>
    <d v="2025-03-11T00:00:00"/>
    <s v="CUST0298"/>
    <s v="Consumer"/>
    <s v="Office Chair"/>
    <s v="Furniture"/>
    <s v="South"/>
    <n v="2"/>
    <n v="189.01"/>
    <n v="0.1"/>
    <n v="340.21"/>
    <n v="48.88"/>
    <n v="37.802"/>
  </r>
  <r>
    <s v="ORD00699"/>
    <d v="2025-03-11T00:00:00"/>
    <s v="CUST0276"/>
    <s v="Consumer"/>
    <s v="Water Bottle"/>
    <s v="Lifestyle"/>
    <s v="East"/>
    <n v="5"/>
    <n v="22.91"/>
    <n v="0.15"/>
    <n v="97.39"/>
    <n v="18.95"/>
    <n v="17.182499999999997"/>
  </r>
  <r>
    <s v="ORD00885"/>
    <d v="2025-03-11T00:00:00"/>
    <s v="CUST0054"/>
    <s v="Corporate"/>
    <s v="Water Bottle"/>
    <s v="Lifestyle"/>
    <s v="East"/>
    <n v="2"/>
    <n v="22.98"/>
    <n v="0.05"/>
    <n v="43.66"/>
    <n v="11.32"/>
    <n v="2.298"/>
  </r>
  <r>
    <s v="ORD00514"/>
    <d v="2025-03-11T00:00:00"/>
    <s v="CUST0295"/>
    <s v="Consumer"/>
    <s v="Wireless Mouse"/>
    <s v="Technology"/>
    <s v="North"/>
    <n v="1"/>
    <n v="29.69"/>
    <n v="0.05"/>
    <n v="28.21"/>
    <n v="3.88"/>
    <n v="1.4845000000000002"/>
  </r>
  <r>
    <s v="ORD00433"/>
    <d v="2025-03-12T00:00:00"/>
    <s v="CUST0064"/>
    <s v="Consumer"/>
    <s v="24-inch Monitor"/>
    <s v="Technology"/>
    <s v="South"/>
    <n v="1"/>
    <n v="211.26"/>
    <n v="0.05"/>
    <n v="200.69"/>
    <n v="20.170000000000002"/>
    <n v="10.563000000000001"/>
  </r>
  <r>
    <s v="ORD00632"/>
    <d v="2025-03-12T00:00:00"/>
    <s v="CUST0298"/>
    <s v="Consumer"/>
    <s v="Standing Desk"/>
    <s v="Furniture"/>
    <s v="East"/>
    <n v="1"/>
    <n v="353.69"/>
    <n v="0.1"/>
    <n v="318.32"/>
    <n v="40.78"/>
    <n v="35.369"/>
  </r>
  <r>
    <s v="ORD00893"/>
    <d v="2025-03-12T00:00:00"/>
    <s v="CUST0227"/>
    <s v="Consumer"/>
    <s v="Printer Paper"/>
    <s v="Office Supplies"/>
    <s v="South"/>
    <n v="2"/>
    <n v="9.74"/>
    <n v="0"/>
    <n v="19.47"/>
    <n v="1.95"/>
    <n v="0"/>
  </r>
  <r>
    <s v="ORD01182"/>
    <d v="2025-03-12T00:00:00"/>
    <s v="CUST0117"/>
    <s v="Corporate"/>
    <s v="Printer Paper"/>
    <s v="Office Supplies"/>
    <s v="West"/>
    <n v="2"/>
    <n v="8.99"/>
    <n v="0.1"/>
    <n v="16.18"/>
    <n v="1.98"/>
    <n v="1.798"/>
  </r>
  <r>
    <s v="ORD01010"/>
    <d v="2025-03-13T00:00:00"/>
    <s v="CUST0294"/>
    <s v="Consumer"/>
    <s v="Notebook Set"/>
    <s v="Office Supplies"/>
    <s v="East"/>
    <n v="1"/>
    <n v="13.06"/>
    <n v="0.1"/>
    <n v="11.76"/>
    <n v="1.54"/>
    <n v="1.306"/>
  </r>
  <r>
    <s v="ORD00352"/>
    <d v="2025-03-13T00:00:00"/>
    <s v="CUST0141"/>
    <s v="Consumer"/>
    <s v="Water Bottle"/>
    <s v="Lifestyle"/>
    <s v="East"/>
    <n v="2"/>
    <n v="22.86"/>
    <n v="0.05"/>
    <n v="43.44"/>
    <n v="9.19"/>
    <n v="2.286"/>
  </r>
  <r>
    <s v="ORD00903"/>
    <d v="2025-03-13T00:00:00"/>
    <s v="CUST0062"/>
    <s v="Consumer"/>
    <s v="Printer Paper"/>
    <s v="Office Supplies"/>
    <s v="South"/>
    <n v="3"/>
    <n v="9.73"/>
    <n v="0"/>
    <n v="29.18"/>
    <n v="7.38"/>
    <n v="0"/>
  </r>
  <r>
    <s v="ORD00392"/>
    <d v="2025-03-13T00:00:00"/>
    <s v="CUST0190"/>
    <s v="Consumer"/>
    <s v="Printer Paper"/>
    <s v="Office Supplies"/>
    <s v="West"/>
    <n v="4"/>
    <n v="8.7100000000000009"/>
    <n v="0.15"/>
    <n v="29.61"/>
    <n v="5.64"/>
    <n v="5.226"/>
  </r>
  <r>
    <s v="ORD00160"/>
    <d v="2025-03-14T00:00:00"/>
    <s v="CUST0132"/>
    <s v="Small Business"/>
    <s v="Laptop Pro 14"/>
    <s v="Technology"/>
    <s v="South"/>
    <n v="3"/>
    <n v="995.31"/>
    <n v="0.05"/>
    <n v="2836.62"/>
    <n v="695.46"/>
    <n v="149.29650000000001"/>
  </r>
  <r>
    <s v="ORD00942"/>
    <d v="2025-03-15T00:00:00"/>
    <s v="CUST0028"/>
    <s v="Corporate"/>
    <s v="Mechanical Keyboard"/>
    <s v="Technology"/>
    <s v="East"/>
    <n v="1"/>
    <n v="79.62"/>
    <n v="0"/>
    <n v="79.62"/>
    <n v="9.18"/>
    <n v="0"/>
  </r>
  <r>
    <s v="ORD00215"/>
    <d v="2025-03-15T00:00:00"/>
    <s v="CUST0297"/>
    <s v="Corporate"/>
    <s v="Office Chair"/>
    <s v="Furniture"/>
    <s v="East"/>
    <n v="1"/>
    <n v="194.74"/>
    <n v="0.15"/>
    <n v="165.53"/>
    <n v="35.32"/>
    <n v="29.210999999999999"/>
  </r>
  <r>
    <s v="ORD01035"/>
    <d v="2025-03-16T00:00:00"/>
    <s v="CUST0254"/>
    <s v="Corporate"/>
    <s v="Printer Paper"/>
    <s v="Office Supplies"/>
    <s v="East"/>
    <n v="1"/>
    <n v="8.48"/>
    <n v="0"/>
    <n v="8.48"/>
    <n v="1.17"/>
    <n v="0"/>
  </r>
  <r>
    <s v="ORD00262"/>
    <d v="2025-03-16T00:00:00"/>
    <s v="CUST0245"/>
    <s v="Consumer"/>
    <s v="24-inch Monitor"/>
    <s v="Technology"/>
    <s v="North"/>
    <n v="4"/>
    <n v="205.61"/>
    <n v="0.05"/>
    <n v="781.31"/>
    <n v="104.73"/>
    <n v="41.122000000000007"/>
  </r>
  <r>
    <s v="ORD00043"/>
    <d v="2025-03-16T00:00:00"/>
    <s v="CUST0036"/>
    <s v="Small Business"/>
    <s v="Notebook Set"/>
    <s v="Office Supplies"/>
    <s v="East"/>
    <n v="1"/>
    <n v="14.7"/>
    <n v="0"/>
    <n v="14.7"/>
    <n v="3.55"/>
    <n v="0"/>
  </r>
  <r>
    <s v="ORD00207"/>
    <d v="2025-03-16T00:00:00"/>
    <s v="CUST0227"/>
    <s v="Consumer"/>
    <s v="Mechanical Keyboard"/>
    <s v="Technology"/>
    <s v="West"/>
    <n v="2"/>
    <n v="73.28"/>
    <n v="0"/>
    <n v="146.56"/>
    <n v="30.58"/>
    <n v="0"/>
  </r>
  <r>
    <s v="ORD01081"/>
    <d v="2025-03-16T00:00:00"/>
    <s v="CUST0280"/>
    <s v="Small Business"/>
    <s v="File Organizer"/>
    <s v="Office Supplies"/>
    <s v="East"/>
    <n v="3"/>
    <n v="19.03"/>
    <n v="0.2"/>
    <n v="45.68"/>
    <n v="8.14"/>
    <n v="11.418000000000001"/>
  </r>
  <r>
    <s v="ORD00648"/>
    <d v="2025-03-17T00:00:00"/>
    <s v="CUST0216"/>
    <s v="Consumer"/>
    <s v="Desk Lamp"/>
    <s v="Furniture"/>
    <s v="West"/>
    <n v="3"/>
    <n v="40.229999999999997"/>
    <n v="0.15"/>
    <n v="102.58"/>
    <n v="25.32"/>
    <n v="18.1035"/>
  </r>
  <r>
    <s v="ORD01069"/>
    <d v="2025-03-17T00:00:00"/>
    <s v="CUST0245"/>
    <s v="Small Business"/>
    <s v="Backpack"/>
    <s v="Lifestyle"/>
    <s v="South"/>
    <n v="1"/>
    <n v="55.04"/>
    <n v="0.05"/>
    <n v="52.29"/>
    <n v="10.16"/>
    <n v="2.7520000000000002"/>
  </r>
  <r>
    <s v="ORD00264"/>
    <d v="2025-03-18T00:00:00"/>
    <s v="CUST0162"/>
    <s v="Consumer"/>
    <s v="Water Bottle"/>
    <s v="Lifestyle"/>
    <s v="West"/>
    <n v="2"/>
    <n v="22.18"/>
    <n v="0"/>
    <n v="44.36"/>
    <n v="4.92"/>
    <n v="0"/>
  </r>
  <r>
    <s v="ORD00390"/>
    <d v="2025-03-18T00:00:00"/>
    <s v="CUST0191"/>
    <s v="Small Business"/>
    <s v="Printer Paper"/>
    <s v="Office Supplies"/>
    <s v="South"/>
    <n v="2"/>
    <n v="9.7799999999999994"/>
    <n v="0.2"/>
    <n v="15.65"/>
    <n v="2.97"/>
    <n v="3.9119999999999999"/>
  </r>
  <r>
    <s v="ORD01116"/>
    <d v="2025-03-18T00:00:00"/>
    <s v="CUST0268"/>
    <s v="Consumer"/>
    <s v="Laptop Pro 14"/>
    <s v="Technology"/>
    <s v="North"/>
    <n v="1"/>
    <n v="882.3"/>
    <n v="0.1"/>
    <n v="794.07"/>
    <n v="134.49"/>
    <n v="88.23"/>
  </r>
  <r>
    <s v="ORD00069"/>
    <d v="2025-03-19T00:00:00"/>
    <s v="CUST0274"/>
    <s v="Consumer"/>
    <s v="Notebook Set"/>
    <s v="Office Supplies"/>
    <s v="East"/>
    <n v="1"/>
    <n v="14.52"/>
    <n v="0"/>
    <n v="14.52"/>
    <n v="3.61"/>
    <n v="0"/>
  </r>
  <r>
    <s v="ORD00777"/>
    <d v="2025-03-19T00:00:00"/>
    <s v="CUST0073"/>
    <s v="Consumer"/>
    <s v="Mechanical Keyboard"/>
    <s v="Technology"/>
    <s v="South"/>
    <n v="1"/>
    <n v="78.45"/>
    <n v="0.05"/>
    <n v="74.53"/>
    <n v="11.18"/>
    <n v="3.9225000000000003"/>
  </r>
  <r>
    <s v="ORD00562"/>
    <d v="2025-03-19T00:00:00"/>
    <s v="CUST0143"/>
    <s v="Consumer"/>
    <s v="Water Bottle"/>
    <s v="Lifestyle"/>
    <s v="West"/>
    <n v="1"/>
    <n v="23.17"/>
    <n v="0.1"/>
    <n v="20.85"/>
    <n v="5.17"/>
    <n v="2.3170000000000002"/>
  </r>
  <r>
    <s v="ORD00213"/>
    <d v="2025-03-19T00:00:00"/>
    <s v="CUST0113"/>
    <s v="Corporate"/>
    <s v="Backpack"/>
    <s v="Lifestyle"/>
    <s v="South"/>
    <n v="2"/>
    <n v="53.48"/>
    <n v="0"/>
    <n v="106.97"/>
    <n v="15.71"/>
    <n v="0"/>
  </r>
  <r>
    <s v="ORD01120"/>
    <d v="2025-03-19T00:00:00"/>
    <s v="CUST0141"/>
    <s v="Small Business"/>
    <s v="Laptop Pro 14"/>
    <s v="Technology"/>
    <s v="West"/>
    <n v="1"/>
    <n v="912.13"/>
    <n v="0.1"/>
    <n v="820.92"/>
    <n v="140.21"/>
    <n v="91.213000000000008"/>
  </r>
  <r>
    <s v="ORD00431"/>
    <d v="2025-03-20T00:00:00"/>
    <s v="CUST0253"/>
    <s v="Consumer"/>
    <s v="Notebook Set"/>
    <s v="Office Supplies"/>
    <s v="West"/>
    <n v="2"/>
    <n v="13.79"/>
    <n v="0"/>
    <n v="27.59"/>
    <n v="6.8"/>
    <n v="0"/>
  </r>
  <r>
    <s v="ORD01196"/>
    <d v="2025-03-20T00:00:00"/>
    <s v="CUST0220"/>
    <s v="Corporate"/>
    <s v="Printer Paper"/>
    <s v="Office Supplies"/>
    <s v="North"/>
    <n v="2"/>
    <n v="8.1300000000000008"/>
    <n v="0"/>
    <n v="16.260000000000002"/>
    <n v="2.66"/>
    <n v="0"/>
  </r>
  <r>
    <s v="ORD01178"/>
    <d v="2025-03-20T00:00:00"/>
    <s v="CUST0078"/>
    <s v="Small Business"/>
    <s v="Mechanical Keyboard"/>
    <s v="Technology"/>
    <s v="East"/>
    <n v="1"/>
    <n v="75.099999999999994"/>
    <n v="0"/>
    <n v="75.099999999999994"/>
    <n v="7.3"/>
    <n v="0"/>
  </r>
  <r>
    <s v="ORD00957"/>
    <d v="2025-03-21T00:00:00"/>
    <s v="CUST0024"/>
    <s v="Consumer"/>
    <s v="Desk Lamp"/>
    <s v="Furniture"/>
    <s v="West"/>
    <n v="2"/>
    <n v="42.72"/>
    <n v="0.1"/>
    <n v="76.900000000000006"/>
    <n v="9.83"/>
    <n v="8.5440000000000005"/>
  </r>
  <r>
    <s v="ORD00053"/>
    <d v="2025-03-21T00:00:00"/>
    <s v="CUST0143"/>
    <s v="Small Business"/>
    <s v="Standing Desk"/>
    <s v="Furniture"/>
    <s v="West"/>
    <n v="1"/>
    <n v="301.98"/>
    <n v="0.1"/>
    <n v="271.77999999999997"/>
    <n v="25.82"/>
    <n v="30.198000000000004"/>
  </r>
  <r>
    <s v="ORD00620"/>
    <d v="2025-03-21T00:00:00"/>
    <s v="CUST0068"/>
    <s v="Consumer"/>
    <s v="File Organizer"/>
    <s v="Office Supplies"/>
    <s v="South"/>
    <n v="2"/>
    <n v="18.84"/>
    <n v="0.05"/>
    <n v="35.799999999999997"/>
    <n v="8.4600000000000009"/>
    <n v="1.8840000000000001"/>
  </r>
  <r>
    <s v="ORD00140"/>
    <d v="2025-03-21T00:00:00"/>
    <s v="CUST0077"/>
    <s v="Corporate"/>
    <s v="Standing Desk"/>
    <s v="Furniture"/>
    <s v="East"/>
    <n v="2"/>
    <n v="318.55"/>
    <n v="0"/>
    <n v="637.09"/>
    <n v="116.93"/>
    <n v="0"/>
  </r>
  <r>
    <s v="ORD00709"/>
    <d v="2025-03-22T00:00:00"/>
    <s v="CUST0061"/>
    <s v="Small Business"/>
    <s v="Office Chair"/>
    <s v="Furniture"/>
    <s v="North"/>
    <n v="1"/>
    <n v="181.97"/>
    <n v="0.15"/>
    <n v="154.66999999999999"/>
    <n v="33.56"/>
    <n v="27.295500000000001"/>
  </r>
  <r>
    <s v="ORD00006"/>
    <d v="2025-03-22T00:00:00"/>
    <s v="CUST0044"/>
    <s v="Corporate"/>
    <s v="24-inch Monitor"/>
    <s v="Technology"/>
    <s v="North"/>
    <n v="2"/>
    <n v="212.84"/>
    <n v="0"/>
    <n v="425.69"/>
    <n v="36.72"/>
    <n v="0"/>
  </r>
  <r>
    <s v="ORD00832"/>
    <d v="2025-03-22T00:00:00"/>
    <s v="CUST0047"/>
    <s v="Consumer"/>
    <s v="Printer Paper"/>
    <s v="Office Supplies"/>
    <s v="East"/>
    <n v="3"/>
    <n v="8.85"/>
    <n v="0.15"/>
    <n v="22.56"/>
    <n v="4.66"/>
    <n v="3.9824999999999995"/>
  </r>
  <r>
    <s v="ORD01090"/>
    <d v="2025-03-22T00:00:00"/>
    <s v="CUST0004"/>
    <s v="Consumer"/>
    <s v="Backpack"/>
    <s v="Lifestyle"/>
    <s v="North"/>
    <n v="2"/>
    <n v="50.78"/>
    <n v="0.05"/>
    <n v="96.49"/>
    <n v="14.07"/>
    <n v="5.0780000000000003"/>
  </r>
  <r>
    <s v="ORD00894"/>
    <d v="2025-03-22T00:00:00"/>
    <s v="CUST0291"/>
    <s v="Consumer"/>
    <s v="Wireless Mouse"/>
    <s v="Technology"/>
    <s v="East"/>
    <n v="2"/>
    <n v="28.95"/>
    <n v="0"/>
    <n v="57.9"/>
    <n v="7.13"/>
    <n v="0"/>
  </r>
  <r>
    <s v="ORD00306"/>
    <d v="2025-03-22T00:00:00"/>
    <s v="CUST0156"/>
    <s v="Corporate"/>
    <s v="Water Bottle"/>
    <s v="Lifestyle"/>
    <s v="West"/>
    <n v="4"/>
    <n v="23.48"/>
    <n v="0.1"/>
    <n v="84.51"/>
    <n v="18.27"/>
    <n v="9.3920000000000012"/>
  </r>
  <r>
    <s v="ORD00220"/>
    <d v="2025-03-23T00:00:00"/>
    <s v="CUST0161"/>
    <s v="Consumer"/>
    <s v="Office Chair"/>
    <s v="Furniture"/>
    <s v="East"/>
    <n v="2"/>
    <n v="196.99"/>
    <n v="0.05"/>
    <n v="374.29"/>
    <n v="71.709999999999994"/>
    <n v="19.699000000000002"/>
  </r>
  <r>
    <s v="ORD01103"/>
    <d v="2025-03-24T00:00:00"/>
    <s v="CUST0243"/>
    <s v="Consumer"/>
    <s v="Standing Desk"/>
    <s v="Furniture"/>
    <s v="West"/>
    <n v="2"/>
    <n v="329.88"/>
    <n v="0"/>
    <n v="659.76"/>
    <n v="113.17"/>
    <n v="0"/>
  </r>
  <r>
    <s v="ORD00334"/>
    <d v="2025-03-24T00:00:00"/>
    <s v="CUST0025"/>
    <s v="Corporate"/>
    <s v="File Organizer"/>
    <s v="Office Supplies"/>
    <s v="South"/>
    <n v="1"/>
    <n v="16.22"/>
    <n v="0.15"/>
    <n v="13.79"/>
    <n v="2.73"/>
    <n v="2.4329999999999998"/>
  </r>
  <r>
    <s v="ORD00518"/>
    <d v="2025-03-24T00:00:00"/>
    <s v="CUST0042"/>
    <s v="Consumer"/>
    <s v="Standing Desk"/>
    <s v="Furniture"/>
    <s v="East"/>
    <n v="2"/>
    <n v="354.81"/>
    <n v="0.05"/>
    <n v="674.14"/>
    <n v="168.44"/>
    <n v="35.481000000000002"/>
  </r>
  <r>
    <s v="ORD00329"/>
    <d v="2025-03-25T00:00:00"/>
    <s v="CUST0202"/>
    <s v="Consumer"/>
    <s v="Standing Desk"/>
    <s v="Furniture"/>
    <s v="East"/>
    <n v="3"/>
    <n v="336.67"/>
    <n v="0.1"/>
    <n v="909.02"/>
    <n v="234.7"/>
    <n v="101.001"/>
  </r>
  <r>
    <s v="ORD01158"/>
    <d v="2025-03-25T00:00:00"/>
    <s v="CUST0059"/>
    <s v="Corporate"/>
    <s v="Desk Lamp"/>
    <s v="Furniture"/>
    <s v="North"/>
    <n v="4"/>
    <n v="39.380000000000003"/>
    <n v="0.1"/>
    <n v="141.77000000000001"/>
    <n v="16.29"/>
    <n v="15.752000000000002"/>
  </r>
  <r>
    <s v="ORD00605"/>
    <d v="2025-03-25T00:00:00"/>
    <s v="CUST0230"/>
    <s v="Consumer"/>
    <s v="Mechanical Keyboard"/>
    <s v="Technology"/>
    <s v="North"/>
    <n v="1"/>
    <n v="79.88"/>
    <n v="0.05"/>
    <n v="75.88"/>
    <n v="18.260000000000002"/>
    <n v="3.9939999999999998"/>
  </r>
  <r>
    <s v="ORD00045"/>
    <d v="2025-03-25T00:00:00"/>
    <s v="CUST0206"/>
    <s v="Small Business"/>
    <s v="Printer Paper"/>
    <s v="Office Supplies"/>
    <s v="South"/>
    <n v="2"/>
    <n v="9.73"/>
    <n v="0"/>
    <n v="19.46"/>
    <n v="1.91"/>
    <n v="0"/>
  </r>
  <r>
    <s v="ORD00836"/>
    <d v="2025-03-25T00:00:00"/>
    <s v="CUST0211"/>
    <s v="Consumer"/>
    <s v="Laptop Pro 14"/>
    <s v="Technology"/>
    <s v="North"/>
    <n v="2"/>
    <n v="1006.2"/>
    <n v="0.1"/>
    <n v="1811.16"/>
    <n v="240.79"/>
    <n v="201.24"/>
  </r>
  <r>
    <s v="ORD00850"/>
    <d v="2025-03-25T00:00:00"/>
    <s v="CUST0206"/>
    <s v="Consumer"/>
    <s v="Wireless Mouse"/>
    <s v="Technology"/>
    <s v="West"/>
    <n v="2"/>
    <n v="26.36"/>
    <n v="0.1"/>
    <n v="47.45"/>
    <n v="11.08"/>
    <n v="5.2720000000000002"/>
  </r>
  <r>
    <s v="ORD00472"/>
    <d v="2025-03-26T00:00:00"/>
    <s v="CUST0150"/>
    <s v="Small Business"/>
    <s v="Desk Lamp"/>
    <s v="Furniture"/>
    <s v="North"/>
    <n v="1"/>
    <n v="37.92"/>
    <n v="0.05"/>
    <n v="36.020000000000003"/>
    <n v="6.05"/>
    <n v="1.8960000000000001"/>
  </r>
  <r>
    <s v="ORD01142"/>
    <d v="2025-03-26T00:00:00"/>
    <s v="CUST0180"/>
    <s v="Consumer"/>
    <s v="Wireless Mouse"/>
    <s v="Technology"/>
    <s v="West"/>
    <n v="3"/>
    <n v="25.44"/>
    <n v="0.15"/>
    <n v="64.88"/>
    <n v="9.93"/>
    <n v="11.448"/>
  </r>
  <r>
    <s v="ORD00818"/>
    <d v="2025-03-26T00:00:00"/>
    <s v="CUST0233"/>
    <s v="Small Business"/>
    <s v="Desk Lamp"/>
    <s v="Furniture"/>
    <s v="North"/>
    <n v="3"/>
    <n v="45.15"/>
    <n v="0"/>
    <n v="135.44999999999999"/>
    <n v="31.74"/>
    <n v="0"/>
  </r>
  <r>
    <s v="ORD01040"/>
    <d v="2025-03-26T00:00:00"/>
    <s v="CUST0040"/>
    <s v="Consumer"/>
    <s v="Standing Desk"/>
    <s v="Furniture"/>
    <s v="South"/>
    <n v="1"/>
    <n v="301.52"/>
    <n v="0.05"/>
    <n v="286.45"/>
    <n v="49.05"/>
    <n v="15.076000000000001"/>
  </r>
  <r>
    <s v="ORD00475"/>
    <d v="2025-03-26T00:00:00"/>
    <s v="CUST0015"/>
    <s v="Corporate"/>
    <s v="Mechanical Keyboard"/>
    <s v="Technology"/>
    <s v="North"/>
    <n v="2"/>
    <n v="75.87"/>
    <n v="0.15"/>
    <n v="128.97999999999999"/>
    <n v="32.03"/>
    <n v="22.760999999999999"/>
  </r>
  <r>
    <s v="ORD00669"/>
    <d v="2025-03-27T00:00:00"/>
    <s v="CUST0101"/>
    <s v="Consumer"/>
    <s v="Office Chair"/>
    <s v="Furniture"/>
    <s v="North"/>
    <n v="1"/>
    <n v="171.17"/>
    <n v="0.05"/>
    <n v="162.61000000000001"/>
    <n v="27.19"/>
    <n v="8.5585000000000004"/>
  </r>
  <r>
    <s v="ORD00371"/>
    <d v="2025-03-27T00:00:00"/>
    <s v="CUST0003"/>
    <s v="Small Business"/>
    <s v="Standing Desk"/>
    <s v="Furniture"/>
    <s v="North"/>
    <n v="3"/>
    <n v="305.75"/>
    <n v="0"/>
    <n v="917.26"/>
    <n v="167.24"/>
    <n v="0"/>
  </r>
  <r>
    <s v="ORD01074"/>
    <d v="2025-03-28T00:00:00"/>
    <s v="CUST0028"/>
    <s v="Small Business"/>
    <s v="Backpack"/>
    <s v="Lifestyle"/>
    <s v="North"/>
    <n v="3"/>
    <n v="50.6"/>
    <n v="0.1"/>
    <n v="136.63"/>
    <n v="27.1"/>
    <n v="15.180000000000001"/>
  </r>
  <r>
    <s v="ORD00724"/>
    <d v="2025-03-29T00:00:00"/>
    <s v="CUST0024"/>
    <s v="Corporate"/>
    <s v="24-inch Monitor"/>
    <s v="Technology"/>
    <s v="South"/>
    <n v="1"/>
    <n v="203.52"/>
    <n v="0"/>
    <n v="203.52"/>
    <n v="49.16"/>
    <n v="0"/>
  </r>
  <r>
    <s v="ORD01056"/>
    <d v="2025-03-29T00:00:00"/>
    <s v="CUST0275"/>
    <s v="Consumer"/>
    <s v="Notebook Set"/>
    <s v="Office Supplies"/>
    <s v="North"/>
    <n v="1"/>
    <n v="14.69"/>
    <n v="0"/>
    <n v="14.69"/>
    <n v="2.56"/>
    <n v="0"/>
  </r>
  <r>
    <s v="ORD00869"/>
    <d v="2025-03-29T00:00:00"/>
    <s v="CUST0031"/>
    <s v="Corporate"/>
    <s v="Water Bottle"/>
    <s v="Lifestyle"/>
    <s v="North"/>
    <n v="4"/>
    <n v="22.1"/>
    <n v="0.05"/>
    <n v="83.97"/>
    <n v="12.64"/>
    <n v="4.4200000000000008"/>
  </r>
  <r>
    <s v="ORD00765"/>
    <d v="2025-03-30T00:00:00"/>
    <s v="CUST0279"/>
    <s v="Consumer"/>
    <s v="Mechanical Keyboard"/>
    <s v="Technology"/>
    <s v="East"/>
    <n v="1"/>
    <n v="80.67"/>
    <n v="0.05"/>
    <n v="76.64"/>
    <n v="13.1"/>
    <n v="4.0335000000000001"/>
  </r>
  <r>
    <s v="ORD00497"/>
    <d v="2025-03-30T00:00:00"/>
    <s v="CUST0195"/>
    <s v="Consumer"/>
    <s v="Wireless Mouse"/>
    <s v="Technology"/>
    <s v="South"/>
    <n v="1"/>
    <n v="27.6"/>
    <n v="0.2"/>
    <n v="22.08"/>
    <n v="3.41"/>
    <n v="5.5200000000000005"/>
  </r>
  <r>
    <s v="ORD00744"/>
    <d v="2025-03-31T00:00:00"/>
    <s v="CUST0128"/>
    <s v="Small Business"/>
    <s v="Desk Lamp"/>
    <s v="Furniture"/>
    <s v="West"/>
    <n v="1"/>
    <n v="43.07"/>
    <n v="0"/>
    <n v="43.07"/>
    <n v="5.82"/>
    <n v="0"/>
  </r>
  <r>
    <s v="ORD00840"/>
    <d v="2025-03-31T00:00:00"/>
    <s v="CUST0281"/>
    <s v="Corporate"/>
    <s v="Water Bottle"/>
    <s v="Lifestyle"/>
    <s v="East"/>
    <n v="1"/>
    <n v="20.39"/>
    <n v="0.1"/>
    <n v="18.350000000000001"/>
    <n v="3.88"/>
    <n v="2.0390000000000001"/>
  </r>
  <r>
    <s v="ORD00468"/>
    <d v="2025-03-31T00:00:00"/>
    <s v="CUST0033"/>
    <s v="Consumer"/>
    <s v="Standing Desk"/>
    <s v="Furniture"/>
    <s v="East"/>
    <n v="2"/>
    <n v="335.32"/>
    <n v="0.05"/>
    <n v="637.11"/>
    <n v="162.24"/>
    <n v="33.532000000000004"/>
  </r>
  <r>
    <s v="ORD01012"/>
    <d v="2025-04-01T00:00:00"/>
    <s v="CUST0207"/>
    <s v="Small Business"/>
    <s v="Standing Desk"/>
    <s v="Furniture"/>
    <s v="South"/>
    <n v="2"/>
    <n v="361.51"/>
    <n v="0"/>
    <n v="723.01"/>
    <n v="179.83"/>
    <n v="0"/>
  </r>
  <r>
    <s v="ORD00370"/>
    <d v="2025-04-01T00:00:00"/>
    <s v="CUST0291"/>
    <s v="Consumer"/>
    <s v="File Organizer"/>
    <s v="Office Supplies"/>
    <s v="North"/>
    <n v="2"/>
    <n v="17.350000000000001"/>
    <n v="0"/>
    <n v="34.69"/>
    <n v="9.44"/>
    <n v="0"/>
  </r>
  <r>
    <s v="ORD00858"/>
    <d v="2025-04-02T00:00:00"/>
    <s v="CUST0235"/>
    <s v="Corporate"/>
    <s v="Water Bottle"/>
    <s v="Lifestyle"/>
    <s v="East"/>
    <n v="2"/>
    <n v="22.48"/>
    <n v="0.1"/>
    <n v="40.46"/>
    <n v="8.58"/>
    <n v="4.4960000000000004"/>
  </r>
  <r>
    <s v="ORD01125"/>
    <d v="2025-04-02T00:00:00"/>
    <s v="CUST0115"/>
    <s v="Consumer"/>
    <s v="Laptop Pro 14"/>
    <s v="Technology"/>
    <s v="East"/>
    <n v="1"/>
    <n v="975.27"/>
    <n v="0.05"/>
    <n v="926.51"/>
    <n v="75.31"/>
    <n v="48.763500000000001"/>
  </r>
  <r>
    <s v="ORD00032"/>
    <d v="2025-04-02T00:00:00"/>
    <s v="CUST0180"/>
    <s v="Corporate"/>
    <s v="Wireless Mouse"/>
    <s v="Technology"/>
    <s v="North"/>
    <n v="1"/>
    <n v="28.24"/>
    <n v="0.05"/>
    <n v="26.83"/>
    <n v="3.36"/>
    <n v="1.4119999999999999"/>
  </r>
  <r>
    <s v="ORD00573"/>
    <d v="2025-04-02T00:00:00"/>
    <s v="CUST0296"/>
    <s v="Consumer"/>
    <s v="Laptop Pro 14"/>
    <s v="Technology"/>
    <s v="South"/>
    <n v="1"/>
    <n v="1002.15"/>
    <n v="0"/>
    <n v="1002.15"/>
    <n v="107.12"/>
    <n v="0"/>
  </r>
  <r>
    <s v="ORD00864"/>
    <d v="2025-04-03T00:00:00"/>
    <s v="CUST0158"/>
    <s v="Consumer"/>
    <s v="Backpack"/>
    <s v="Lifestyle"/>
    <s v="North"/>
    <n v="1"/>
    <n v="59.35"/>
    <n v="0.05"/>
    <n v="56.38"/>
    <n v="14.9"/>
    <n v="2.9675000000000002"/>
  </r>
  <r>
    <s v="ORD00543"/>
    <d v="2025-04-03T00:00:00"/>
    <s v="CUST0014"/>
    <s v="Consumer"/>
    <s v="Standing Desk"/>
    <s v="Furniture"/>
    <s v="North"/>
    <n v="1"/>
    <n v="353.62"/>
    <n v="0.05"/>
    <n v="335.94"/>
    <n v="68.069999999999993"/>
    <n v="17.681000000000001"/>
  </r>
  <r>
    <s v="ORD01186"/>
    <d v="2025-04-03T00:00:00"/>
    <s v="CUST0087"/>
    <s v="Corporate"/>
    <s v="Desk Lamp"/>
    <s v="Furniture"/>
    <s v="North"/>
    <n v="4"/>
    <n v="37.82"/>
    <n v="0.05"/>
    <n v="143.72999999999999"/>
    <n v="17.05"/>
    <n v="7.5640000000000001"/>
  </r>
  <r>
    <s v="ORD00038"/>
    <d v="2025-04-04T00:00:00"/>
    <s v="CUST0250"/>
    <s v="Consumer"/>
    <s v="24-inch Monitor"/>
    <s v="Technology"/>
    <s v="North"/>
    <n v="3"/>
    <n v="203.54"/>
    <n v="0.1"/>
    <n v="549.57000000000005"/>
    <n v="81.44"/>
    <n v="61.062000000000005"/>
  </r>
  <r>
    <s v="ORD00309"/>
    <d v="2025-04-04T00:00:00"/>
    <s v="CUST0082"/>
    <s v="Consumer"/>
    <s v="Mechanical Keyboard"/>
    <s v="Technology"/>
    <s v="North"/>
    <n v="1"/>
    <n v="82.39"/>
    <n v="0.1"/>
    <n v="74.150000000000006"/>
    <n v="9.91"/>
    <n v="8.2390000000000008"/>
  </r>
  <r>
    <s v="ORD00867"/>
    <d v="2025-04-05T00:00:00"/>
    <s v="CUST0249"/>
    <s v="Small Business"/>
    <s v="Printer Paper"/>
    <s v="Office Supplies"/>
    <s v="East"/>
    <n v="2"/>
    <n v="9.83"/>
    <n v="0.05"/>
    <n v="18.68"/>
    <n v="3.66"/>
    <n v="0.9830000000000001"/>
  </r>
  <r>
    <s v="ORD00381"/>
    <d v="2025-04-05T00:00:00"/>
    <s v="CUST0011"/>
    <s v="Consumer"/>
    <s v="Office Chair"/>
    <s v="Furniture"/>
    <s v="North"/>
    <n v="1"/>
    <n v="191.41"/>
    <n v="0.2"/>
    <n v="153.13"/>
    <n v="29.46"/>
    <n v="38.282000000000004"/>
  </r>
  <r>
    <s v="ORD00968"/>
    <d v="2025-04-05T00:00:00"/>
    <s v="CUST0272"/>
    <s v="Small Business"/>
    <s v="Laptop Pro 14"/>
    <s v="Technology"/>
    <s v="South"/>
    <n v="2"/>
    <n v="955.14"/>
    <n v="0.05"/>
    <n v="1814.77"/>
    <n v="137.06"/>
    <n v="95.51400000000001"/>
  </r>
  <r>
    <s v="ORD00837"/>
    <d v="2025-04-05T00:00:00"/>
    <s v="CUST0218"/>
    <s v="Consumer"/>
    <s v="Printer Paper"/>
    <s v="Office Supplies"/>
    <s v="North"/>
    <n v="1"/>
    <n v="8.23"/>
    <n v="0.05"/>
    <n v="7.82"/>
    <n v="2.0499999999999998"/>
    <n v="0.41150000000000003"/>
  </r>
  <r>
    <s v="ORD00044"/>
    <d v="2025-04-06T00:00:00"/>
    <s v="CUST0062"/>
    <s v="Corporate"/>
    <s v="Notebook Set"/>
    <s v="Office Supplies"/>
    <s v="West"/>
    <n v="1"/>
    <n v="14.67"/>
    <n v="0.1"/>
    <n v="13.2"/>
    <n v="1.41"/>
    <n v="1.4670000000000001"/>
  </r>
  <r>
    <s v="ORD01011"/>
    <d v="2025-04-06T00:00:00"/>
    <s v="CUST0146"/>
    <s v="Small Business"/>
    <s v="Water Bottle"/>
    <s v="Lifestyle"/>
    <s v="East"/>
    <n v="2"/>
    <n v="23.26"/>
    <n v="0.05"/>
    <n v="44.19"/>
    <n v="11.46"/>
    <n v="2.3260000000000001"/>
  </r>
  <r>
    <s v="ORD00697"/>
    <d v="2025-04-06T00:00:00"/>
    <s v="CUST0249"/>
    <s v="Small Business"/>
    <s v="Printer Paper"/>
    <s v="Office Supplies"/>
    <s v="East"/>
    <n v="1"/>
    <n v="8.35"/>
    <n v="0.15"/>
    <n v="7.1"/>
    <n v="0.79"/>
    <n v="1.2524999999999999"/>
  </r>
  <r>
    <s v="ORD00368"/>
    <d v="2025-04-06T00:00:00"/>
    <s v="CUST0255"/>
    <s v="Corporate"/>
    <s v="Mechanical Keyboard"/>
    <s v="Technology"/>
    <s v="West"/>
    <n v="4"/>
    <n v="73.930000000000007"/>
    <n v="0.1"/>
    <n v="266.17"/>
    <n v="25.95"/>
    <n v="29.572000000000003"/>
  </r>
  <r>
    <s v="ORD00776"/>
    <d v="2025-04-06T00:00:00"/>
    <s v="CUST0079"/>
    <s v="Consumer"/>
    <s v="Standing Desk"/>
    <s v="Furniture"/>
    <s v="South"/>
    <n v="1"/>
    <n v="312.79000000000002"/>
    <n v="0.1"/>
    <n v="281.51"/>
    <n v="30.63"/>
    <n v="31.279000000000003"/>
  </r>
  <r>
    <s v="ORD00747"/>
    <d v="2025-04-06T00:00:00"/>
    <s v="CUST0270"/>
    <s v="Consumer"/>
    <s v="Standing Desk"/>
    <s v="Furniture"/>
    <s v="West"/>
    <n v="3"/>
    <n v="318.23"/>
    <n v="0"/>
    <n v="954.69"/>
    <n v="165.25"/>
    <n v="0"/>
  </r>
  <r>
    <s v="ORD00404"/>
    <d v="2025-04-07T00:00:00"/>
    <s v="CUST0142"/>
    <s v="Consumer"/>
    <s v="Backpack"/>
    <s v="Lifestyle"/>
    <s v="North"/>
    <n v="4"/>
    <n v="50.52"/>
    <n v="0"/>
    <n v="202.06"/>
    <n v="22.74"/>
    <n v="0"/>
  </r>
  <r>
    <s v="ORD00568"/>
    <d v="2025-04-08T00:00:00"/>
    <s v="CUST0195"/>
    <s v="Corporate"/>
    <s v="Desk Lamp"/>
    <s v="Furniture"/>
    <s v="West"/>
    <n v="2"/>
    <n v="45.06"/>
    <n v="0.1"/>
    <n v="81.11"/>
    <n v="12.11"/>
    <n v="9.0120000000000005"/>
  </r>
  <r>
    <s v="ORD00564"/>
    <d v="2025-04-08T00:00:00"/>
    <s v="CUST0260"/>
    <s v="Corporate"/>
    <s v="24-inch Monitor"/>
    <s v="Technology"/>
    <s v="East"/>
    <n v="4"/>
    <n v="211.79"/>
    <n v="0.1"/>
    <n v="762.44"/>
    <n v="146.09"/>
    <n v="84.716000000000008"/>
  </r>
  <r>
    <s v="ORD00382"/>
    <d v="2025-04-08T00:00:00"/>
    <s v="CUST0084"/>
    <s v="Consumer"/>
    <s v="Wireless Mouse"/>
    <s v="Technology"/>
    <s v="South"/>
    <n v="2"/>
    <n v="30.48"/>
    <n v="0"/>
    <n v="60.95"/>
    <n v="5.79"/>
    <n v="0"/>
  </r>
  <r>
    <s v="ORD00909"/>
    <d v="2025-04-08T00:00:00"/>
    <s v="CUST0177"/>
    <s v="Corporate"/>
    <s v="File Organizer"/>
    <s v="Office Supplies"/>
    <s v="South"/>
    <n v="1"/>
    <n v="17.37"/>
    <n v="0"/>
    <n v="17.37"/>
    <n v="3.43"/>
    <n v="0"/>
  </r>
  <r>
    <s v="ORD01139"/>
    <d v="2025-04-08T00:00:00"/>
    <s v="CUST0216"/>
    <s v="Consumer"/>
    <s v="Standing Desk"/>
    <s v="Furniture"/>
    <s v="South"/>
    <n v="1"/>
    <n v="345.78"/>
    <n v="0"/>
    <n v="345.78"/>
    <n v="49.65"/>
    <n v="0"/>
  </r>
  <r>
    <s v="ORD00519"/>
    <d v="2025-04-08T00:00:00"/>
    <s v="CUST0278"/>
    <s v="Consumer"/>
    <s v="Laptop Pro 14"/>
    <s v="Technology"/>
    <s v="West"/>
    <n v="1"/>
    <n v="915.88"/>
    <n v="0"/>
    <n v="915.88"/>
    <n v="103.36"/>
    <n v="0"/>
  </r>
  <r>
    <s v="ORD00267"/>
    <d v="2025-04-09T00:00:00"/>
    <s v="CUST0101"/>
    <s v="Consumer"/>
    <s v="Backpack"/>
    <s v="Lifestyle"/>
    <s v="South"/>
    <n v="3"/>
    <n v="57.54"/>
    <n v="0.05"/>
    <n v="163.99"/>
    <n v="15.69"/>
    <n v="8.6310000000000002"/>
  </r>
  <r>
    <s v="ORD01107"/>
    <d v="2025-04-09T00:00:00"/>
    <s v="CUST0049"/>
    <s v="Consumer"/>
    <s v="Notebook Set"/>
    <s v="Office Supplies"/>
    <s v="South"/>
    <n v="1"/>
    <n v="14.81"/>
    <n v="0"/>
    <n v="14.81"/>
    <n v="1.68"/>
    <n v="0"/>
  </r>
  <r>
    <s v="ORD00023"/>
    <d v="2025-04-09T00:00:00"/>
    <s v="CUST0104"/>
    <s v="Small Business"/>
    <s v="Mechanical Keyboard"/>
    <s v="Technology"/>
    <s v="East"/>
    <n v="4"/>
    <n v="77.13"/>
    <n v="0.1"/>
    <n v="277.67"/>
    <n v="22.05"/>
    <n v="30.852"/>
  </r>
  <r>
    <s v="ORD00882"/>
    <d v="2025-04-10T00:00:00"/>
    <s v="CUST0253"/>
    <s v="Corporate"/>
    <s v="Mechanical Keyboard"/>
    <s v="Technology"/>
    <s v="South"/>
    <n v="2"/>
    <n v="79.36"/>
    <n v="0.05"/>
    <n v="150.78"/>
    <n v="14.61"/>
    <n v="7.9359999999999999"/>
  </r>
  <r>
    <s v="ORD00017"/>
    <d v="2025-04-11T00:00:00"/>
    <s v="CUST0126"/>
    <s v="Consumer"/>
    <s v="Laptop Pro 14"/>
    <s v="Technology"/>
    <s v="West"/>
    <n v="5"/>
    <n v="861.28"/>
    <n v="0.05"/>
    <n v="4091.08"/>
    <n v="559.48"/>
    <n v="215.32"/>
  </r>
  <r>
    <s v="ORD00530"/>
    <d v="2025-04-11T00:00:00"/>
    <s v="CUST0137"/>
    <s v="Consumer"/>
    <s v="Water Bottle"/>
    <s v="Lifestyle"/>
    <s v="North"/>
    <n v="2"/>
    <n v="22.19"/>
    <n v="0"/>
    <n v="44.39"/>
    <n v="5.61"/>
    <n v="0"/>
  </r>
  <r>
    <s v="ORD00231"/>
    <d v="2025-04-12T00:00:00"/>
    <s v="CUST0133"/>
    <s v="Consumer"/>
    <s v="File Organizer"/>
    <s v="Office Supplies"/>
    <s v="South"/>
    <n v="1"/>
    <n v="18.100000000000001"/>
    <n v="0.05"/>
    <n v="17.190000000000001"/>
    <n v="3.6"/>
    <n v="0.90500000000000014"/>
  </r>
  <r>
    <s v="ORD00161"/>
    <d v="2025-04-12T00:00:00"/>
    <s v="CUST0089"/>
    <s v="Corporate"/>
    <s v="Mechanical Keyboard"/>
    <s v="Technology"/>
    <s v="West"/>
    <n v="3"/>
    <n v="79.77"/>
    <n v="0.05"/>
    <n v="227.34"/>
    <n v="21.02"/>
    <n v="11.9655"/>
  </r>
  <r>
    <s v="ORD00109"/>
    <d v="2025-04-12T00:00:00"/>
    <s v="CUST0012"/>
    <s v="Consumer"/>
    <s v="Wireless Mouse"/>
    <s v="Technology"/>
    <s v="North"/>
    <n v="3"/>
    <n v="29.62"/>
    <n v="0.2"/>
    <n v="71.099999999999994"/>
    <n v="12.26"/>
    <n v="17.772000000000002"/>
  </r>
  <r>
    <s v="ORD00413"/>
    <d v="2025-04-13T00:00:00"/>
    <s v="CUST0111"/>
    <s v="Consumer"/>
    <s v="File Organizer"/>
    <s v="Office Supplies"/>
    <s v="South"/>
    <n v="1"/>
    <n v="18.690000000000001"/>
    <n v="0"/>
    <n v="18.690000000000001"/>
    <n v="3.21"/>
    <n v="0"/>
  </r>
  <r>
    <s v="ORD00001"/>
    <d v="2025-04-13T00:00:00"/>
    <s v="CUST0100"/>
    <s v="Corporate"/>
    <s v="24-inch Monitor"/>
    <s v="Technology"/>
    <s v="West"/>
    <n v="2"/>
    <n v="195.55"/>
    <n v="0"/>
    <n v="391.1"/>
    <n v="35.83"/>
    <n v="0"/>
  </r>
  <r>
    <s v="ORD00253"/>
    <d v="2025-04-13T00:00:00"/>
    <s v="CUST0146"/>
    <s v="Consumer"/>
    <s v="Backpack"/>
    <s v="Lifestyle"/>
    <s v="West"/>
    <n v="2"/>
    <n v="52.33"/>
    <n v="0"/>
    <n v="104.67"/>
    <n v="9.6199999999999992"/>
    <n v="0"/>
  </r>
  <r>
    <s v="ORD00771"/>
    <d v="2025-04-14T00:00:00"/>
    <s v="CUST0253"/>
    <s v="Small Business"/>
    <s v="Backpack"/>
    <s v="Lifestyle"/>
    <s v="North"/>
    <n v="2"/>
    <n v="50.24"/>
    <n v="0"/>
    <n v="100.47"/>
    <n v="8.6"/>
    <n v="0"/>
  </r>
  <r>
    <s v="ORD00369"/>
    <d v="2025-04-14T00:00:00"/>
    <s v="CUST0287"/>
    <s v="Corporate"/>
    <s v="Standing Desk"/>
    <s v="Furniture"/>
    <s v="North"/>
    <n v="3"/>
    <n v="360.84"/>
    <n v="0.1"/>
    <n v="974.27"/>
    <n v="211.21"/>
    <n v="108.25200000000001"/>
  </r>
  <r>
    <s v="ORD00556"/>
    <d v="2025-04-14T00:00:00"/>
    <s v="CUST0127"/>
    <s v="Corporate"/>
    <s v="Water Bottle"/>
    <s v="Lifestyle"/>
    <s v="North"/>
    <n v="4"/>
    <n v="22.14"/>
    <n v="0.1"/>
    <n v="79.72"/>
    <n v="18.07"/>
    <n v="8.8559999999999999"/>
  </r>
  <r>
    <s v="ORD00364"/>
    <d v="2025-04-14T00:00:00"/>
    <s v="CUST0218"/>
    <s v="Corporate"/>
    <s v="Water Bottle"/>
    <s v="Lifestyle"/>
    <s v="North"/>
    <n v="4"/>
    <n v="22.99"/>
    <n v="0.15"/>
    <n v="78.16"/>
    <n v="15.17"/>
    <n v="13.793999999999999"/>
  </r>
  <r>
    <s v="ORD01073"/>
    <d v="2025-04-14T00:00:00"/>
    <s v="CUST0048"/>
    <s v="Small Business"/>
    <s v="Wireless Mouse"/>
    <s v="Technology"/>
    <s v="East"/>
    <n v="1"/>
    <n v="27.27"/>
    <n v="0.1"/>
    <n v="24.54"/>
    <n v="2.9"/>
    <n v="2.7270000000000003"/>
  </r>
  <r>
    <s v="ORD00205"/>
    <d v="2025-04-14T00:00:00"/>
    <s v="CUST0112"/>
    <s v="Small Business"/>
    <s v="Mechanical Keyboard"/>
    <s v="Technology"/>
    <s v="South"/>
    <n v="1"/>
    <n v="78.5"/>
    <n v="0.05"/>
    <n v="74.569999999999993"/>
    <n v="14.49"/>
    <n v="3.9250000000000003"/>
  </r>
  <r>
    <s v="ORD00198"/>
    <d v="2025-04-15T00:00:00"/>
    <s v="CUST0269"/>
    <s v="Consumer"/>
    <s v="Printer Paper"/>
    <s v="Office Supplies"/>
    <s v="West"/>
    <n v="4"/>
    <n v="8.33"/>
    <n v="0"/>
    <n v="33.299999999999997"/>
    <n v="5.82"/>
    <n v="0"/>
  </r>
  <r>
    <s v="ORD00929"/>
    <d v="2025-04-15T00:00:00"/>
    <s v="CUST0133"/>
    <s v="Small Business"/>
    <s v="Office Chair"/>
    <s v="Furniture"/>
    <s v="South"/>
    <n v="3"/>
    <n v="172.54"/>
    <n v="0.1"/>
    <n v="465.85"/>
    <n v="34.25"/>
    <n v="51.762"/>
  </r>
  <r>
    <s v="ORD01007"/>
    <d v="2025-04-15T00:00:00"/>
    <s v="CUST0121"/>
    <s v="Corporate"/>
    <s v="24-inch Monitor"/>
    <s v="Technology"/>
    <s v="South"/>
    <n v="1"/>
    <n v="206.55"/>
    <n v="0"/>
    <n v="206.55"/>
    <n v="55.48"/>
    <n v="0"/>
  </r>
  <r>
    <s v="ORD00851"/>
    <d v="2025-04-15T00:00:00"/>
    <s v="CUST0164"/>
    <s v="Consumer"/>
    <s v="Mechanical Keyboard"/>
    <s v="Technology"/>
    <s v="South"/>
    <n v="2"/>
    <n v="76.72"/>
    <n v="0.15"/>
    <n v="130.41999999999999"/>
    <n v="27.76"/>
    <n v="23.015999999999998"/>
  </r>
  <r>
    <s v="ORD01163"/>
    <d v="2025-04-16T00:00:00"/>
    <s v="CUST0137"/>
    <s v="Corporate"/>
    <s v="24-inch Monitor"/>
    <s v="Technology"/>
    <s v="West"/>
    <n v="2"/>
    <n v="208.14"/>
    <n v="0.05"/>
    <n v="395.47"/>
    <n v="40.79"/>
    <n v="20.814"/>
  </r>
  <r>
    <s v="ORD01171"/>
    <d v="2025-04-16T00:00:00"/>
    <s v="CUST0011"/>
    <s v="Consumer"/>
    <s v="Laptop Pro 14"/>
    <s v="Technology"/>
    <s v="East"/>
    <n v="1"/>
    <n v="977.51"/>
    <n v="0.1"/>
    <n v="879.76"/>
    <n v="122.53"/>
    <n v="97.751000000000005"/>
  </r>
  <r>
    <s v="ORD00637"/>
    <d v="2025-04-16T00:00:00"/>
    <s v="CUST0018"/>
    <s v="Corporate"/>
    <s v="Backpack"/>
    <s v="Lifestyle"/>
    <s v="North"/>
    <n v="2"/>
    <n v="49.82"/>
    <n v="0.1"/>
    <n v="89.68"/>
    <n v="15.47"/>
    <n v="9.9640000000000004"/>
  </r>
  <r>
    <s v="ORD00516"/>
    <d v="2025-04-16T00:00:00"/>
    <s v="CUST0009"/>
    <s v="Consumer"/>
    <s v="Desk Lamp"/>
    <s v="Furniture"/>
    <s v="West"/>
    <n v="2"/>
    <n v="45"/>
    <n v="0.2"/>
    <n v="72.010000000000005"/>
    <n v="3.48"/>
    <n v="18"/>
  </r>
  <r>
    <s v="ORD01061"/>
    <d v="2025-04-17T00:00:00"/>
    <s v="CUST0209"/>
    <s v="Consumer"/>
    <s v="Wireless Mouse"/>
    <s v="Technology"/>
    <s v="North"/>
    <n v="3"/>
    <n v="28.21"/>
    <n v="0.05"/>
    <n v="80.400000000000006"/>
    <n v="21.59"/>
    <n v="4.2314999999999996"/>
  </r>
  <r>
    <s v="ORD00936"/>
    <d v="2025-04-17T00:00:00"/>
    <s v="CUST0275"/>
    <s v="Small Business"/>
    <s v="Backpack"/>
    <s v="Lifestyle"/>
    <s v="South"/>
    <n v="1"/>
    <n v="52.55"/>
    <n v="0.1"/>
    <n v="47.29"/>
    <n v="11.03"/>
    <n v="5.2549999999999999"/>
  </r>
  <r>
    <s v="ORD00533"/>
    <d v="2025-04-17T00:00:00"/>
    <s v="CUST0154"/>
    <s v="Consumer"/>
    <s v="Backpack"/>
    <s v="Lifestyle"/>
    <s v="North"/>
    <n v="2"/>
    <n v="57.68"/>
    <n v="0"/>
    <n v="115.37"/>
    <n v="30.44"/>
    <n v="0"/>
  </r>
  <r>
    <s v="ORD00165"/>
    <d v="2025-04-17T00:00:00"/>
    <s v="CUST0275"/>
    <s v="Consumer"/>
    <s v="Desk Lamp"/>
    <s v="Furniture"/>
    <s v="West"/>
    <n v="5"/>
    <n v="40.99"/>
    <n v="0.1"/>
    <n v="184.47"/>
    <n v="17.940000000000001"/>
    <n v="20.495000000000005"/>
  </r>
  <r>
    <s v="ORD00542"/>
    <d v="2025-04-17T00:00:00"/>
    <s v="CUST0271"/>
    <s v="Small Business"/>
    <s v="Office Chair"/>
    <s v="Furniture"/>
    <s v="West"/>
    <n v="1"/>
    <n v="167.96"/>
    <n v="0.05"/>
    <n v="159.56"/>
    <n v="33.479999999999997"/>
    <n v="8.3980000000000015"/>
  </r>
  <r>
    <s v="ORD00666"/>
    <d v="2025-04-17T00:00:00"/>
    <s v="CUST0194"/>
    <s v="Corporate"/>
    <s v="File Organizer"/>
    <s v="Office Supplies"/>
    <s v="South"/>
    <n v="2"/>
    <n v="16.600000000000001"/>
    <n v="0.1"/>
    <n v="29.89"/>
    <n v="6.78"/>
    <n v="3.3200000000000003"/>
  </r>
  <r>
    <s v="ORD00305"/>
    <d v="2025-04-17T00:00:00"/>
    <s v="CUST0039"/>
    <s v="Small Business"/>
    <s v="Water Bottle"/>
    <s v="Lifestyle"/>
    <s v="South"/>
    <n v="3"/>
    <n v="21.9"/>
    <n v="0"/>
    <n v="65.7"/>
    <n v="14.69"/>
    <n v="0"/>
  </r>
  <r>
    <s v="ORD00803"/>
    <d v="2025-04-17T00:00:00"/>
    <s v="CUST0254"/>
    <s v="Consumer"/>
    <s v="Mechanical Keyboard"/>
    <s v="Technology"/>
    <s v="North"/>
    <n v="3"/>
    <n v="76.89"/>
    <n v="0"/>
    <n v="230.67"/>
    <n v="25.4"/>
    <n v="0"/>
  </r>
  <r>
    <s v="ORD00350"/>
    <d v="2025-04-18T00:00:00"/>
    <s v="CUST0115"/>
    <s v="Corporate"/>
    <s v="Wireless Mouse"/>
    <s v="Technology"/>
    <s v="South"/>
    <n v="1"/>
    <n v="29.3"/>
    <n v="0.05"/>
    <n v="27.84"/>
    <n v="6.9"/>
    <n v="1.4650000000000001"/>
  </r>
  <r>
    <s v="ORD00538"/>
    <d v="2025-04-18T00:00:00"/>
    <s v="CUST0066"/>
    <s v="Corporate"/>
    <s v="Laptop Pro 14"/>
    <s v="Technology"/>
    <s v="West"/>
    <n v="3"/>
    <n v="939.88"/>
    <n v="0"/>
    <n v="2819.63"/>
    <n v="295.19"/>
    <n v="0"/>
  </r>
  <r>
    <s v="ORD00423"/>
    <d v="2025-04-18T00:00:00"/>
    <s v="CUST0006"/>
    <s v="Corporate"/>
    <s v="24-inch Monitor"/>
    <s v="Technology"/>
    <s v="West"/>
    <n v="2"/>
    <n v="211.99"/>
    <n v="0"/>
    <n v="423.99"/>
    <n v="57.19"/>
    <n v="0"/>
  </r>
  <r>
    <s v="ORD01001"/>
    <d v="2025-04-19T00:00:00"/>
    <s v="CUST0070"/>
    <s v="Corporate"/>
    <s v="Backpack"/>
    <s v="Lifestyle"/>
    <s v="North"/>
    <n v="2"/>
    <n v="59.39"/>
    <n v="0"/>
    <n v="118.79"/>
    <n v="31.54"/>
    <n v="0"/>
  </r>
  <r>
    <s v="ORD00313"/>
    <d v="2025-04-19T00:00:00"/>
    <s v="CUST0195"/>
    <s v="Consumer"/>
    <s v="Notebook Set"/>
    <s v="Office Supplies"/>
    <s v="North"/>
    <n v="4"/>
    <n v="12.8"/>
    <n v="0"/>
    <n v="51.2"/>
    <n v="4.8"/>
    <n v="0"/>
  </r>
  <r>
    <s v="ORD01041"/>
    <d v="2025-04-19T00:00:00"/>
    <s v="CUST0107"/>
    <s v="Consumer"/>
    <s v="File Organizer"/>
    <s v="Office Supplies"/>
    <s v="South"/>
    <n v="3"/>
    <n v="16.75"/>
    <n v="0.1"/>
    <n v="45.23"/>
    <n v="11.17"/>
    <n v="5.0250000000000004"/>
  </r>
  <r>
    <s v="ORD00583"/>
    <d v="2025-04-19T00:00:00"/>
    <s v="CUST0220"/>
    <s v="Consumer"/>
    <s v="Laptop Pro 14"/>
    <s v="Technology"/>
    <s v="North"/>
    <n v="1"/>
    <n v="952.44"/>
    <n v="0"/>
    <n v="952.44"/>
    <n v="237.12"/>
    <n v="0"/>
  </r>
  <r>
    <s v="ORD00553"/>
    <d v="2025-04-20T00:00:00"/>
    <s v="CUST0161"/>
    <s v="Small Business"/>
    <s v="Notebook Set"/>
    <s v="Office Supplies"/>
    <s v="East"/>
    <n v="1"/>
    <n v="15.38"/>
    <n v="0.05"/>
    <n v="14.61"/>
    <n v="3.54"/>
    <n v="0.76900000000000013"/>
  </r>
  <r>
    <s v="ORD00240"/>
    <d v="2025-04-20T00:00:00"/>
    <s v="CUST0121"/>
    <s v="Corporate"/>
    <s v="Mechanical Keyboard"/>
    <s v="Technology"/>
    <s v="West"/>
    <n v="3"/>
    <n v="76.819999999999993"/>
    <n v="0.2"/>
    <n v="184.37"/>
    <n v="26.36"/>
    <n v="46.091999999999999"/>
  </r>
  <r>
    <s v="ORD00784"/>
    <d v="2025-04-20T00:00:00"/>
    <s v="CUST0043"/>
    <s v="Small Business"/>
    <s v="Water Bottle"/>
    <s v="Lifestyle"/>
    <s v="South"/>
    <n v="1"/>
    <n v="22.2"/>
    <n v="0.15"/>
    <n v="18.87"/>
    <n v="3.09"/>
    <n v="3.3299999999999996"/>
  </r>
  <r>
    <s v="ORD00833"/>
    <d v="2025-04-20T00:00:00"/>
    <s v="CUST0131"/>
    <s v="Corporate"/>
    <s v="Notebook Set"/>
    <s v="Office Supplies"/>
    <s v="South"/>
    <n v="2"/>
    <n v="15.3"/>
    <n v="0.1"/>
    <n v="27.54"/>
    <n v="2.17"/>
    <n v="3.0600000000000005"/>
  </r>
  <r>
    <s v="ORD00446"/>
    <d v="2025-04-20T00:00:00"/>
    <s v="CUST0206"/>
    <s v="Consumer"/>
    <s v="Office Chair"/>
    <s v="Furniture"/>
    <s v="East"/>
    <n v="4"/>
    <n v="167.16"/>
    <n v="0.05"/>
    <n v="635.20000000000005"/>
    <n v="135.44999999999999"/>
    <n v="33.432000000000002"/>
  </r>
  <r>
    <s v="ORD01018"/>
    <d v="2025-04-20T00:00:00"/>
    <s v="CUST0007"/>
    <s v="Consumer"/>
    <s v="Water Bottle"/>
    <s v="Lifestyle"/>
    <s v="West"/>
    <n v="1"/>
    <n v="22.34"/>
    <n v="0"/>
    <n v="22.34"/>
    <n v="3.47"/>
    <n v="0"/>
  </r>
  <r>
    <s v="ORD00243"/>
    <d v="2025-04-20T00:00:00"/>
    <s v="CUST0064"/>
    <s v="Consumer"/>
    <s v="Standing Desk"/>
    <s v="Furniture"/>
    <s v="West"/>
    <n v="1"/>
    <n v="349.44"/>
    <n v="0"/>
    <n v="349.44"/>
    <n v="30.38"/>
    <n v="0"/>
  </r>
  <r>
    <s v="ORD00347"/>
    <d v="2025-04-20T00:00:00"/>
    <s v="CUST0039"/>
    <s v="Consumer"/>
    <s v="File Organizer"/>
    <s v="Office Supplies"/>
    <s v="South"/>
    <n v="1"/>
    <n v="19.45"/>
    <n v="0"/>
    <n v="19.45"/>
    <n v="1.86"/>
    <n v="0"/>
  </r>
  <r>
    <s v="ORD01013"/>
    <d v="2025-04-21T00:00:00"/>
    <s v="CUST0110"/>
    <s v="Corporate"/>
    <s v="Laptop Pro 14"/>
    <s v="Technology"/>
    <s v="South"/>
    <n v="2"/>
    <n v="975.21"/>
    <n v="0"/>
    <n v="1950.42"/>
    <n v="536.76"/>
    <n v="0"/>
  </r>
  <r>
    <s v="ORD00949"/>
    <d v="2025-04-21T00:00:00"/>
    <s v="CUST0067"/>
    <s v="Consumer"/>
    <s v="Backpack"/>
    <s v="Lifestyle"/>
    <s v="North"/>
    <n v="1"/>
    <n v="49.84"/>
    <n v="0.1"/>
    <n v="44.85"/>
    <n v="7.94"/>
    <n v="4.9840000000000009"/>
  </r>
  <r>
    <s v="ORD00500"/>
    <d v="2025-04-21T00:00:00"/>
    <s v="CUST0155"/>
    <s v="Consumer"/>
    <s v="Standing Desk"/>
    <s v="Furniture"/>
    <s v="North"/>
    <n v="1"/>
    <n v="354.78"/>
    <n v="0.1"/>
    <n v="319.3"/>
    <n v="35.96"/>
    <n v="35.478000000000002"/>
  </r>
  <r>
    <s v="ORD00938"/>
    <d v="2025-04-21T00:00:00"/>
    <s v="CUST0199"/>
    <s v="Consumer"/>
    <s v="File Organizer"/>
    <s v="Office Supplies"/>
    <s v="West"/>
    <n v="1"/>
    <n v="18.13"/>
    <n v="0"/>
    <n v="18.13"/>
    <n v="3.08"/>
    <n v="0"/>
  </r>
  <r>
    <s v="ORD00481"/>
    <d v="2025-04-21T00:00:00"/>
    <s v="CUST0193"/>
    <s v="Small Business"/>
    <s v="Printer Paper"/>
    <s v="Office Supplies"/>
    <s v="East"/>
    <n v="1"/>
    <n v="9.83"/>
    <n v="0.1"/>
    <n v="8.85"/>
    <n v="1.8"/>
    <n v="0.9830000000000001"/>
  </r>
  <r>
    <s v="ORD00072"/>
    <d v="2025-04-21T00:00:00"/>
    <s v="CUST0229"/>
    <s v="Corporate"/>
    <s v="Notebook Set"/>
    <s v="Office Supplies"/>
    <s v="East"/>
    <n v="1"/>
    <n v="15.12"/>
    <n v="0"/>
    <n v="15.12"/>
    <n v="3.05"/>
    <n v="0"/>
  </r>
  <r>
    <s v="ORD00424"/>
    <d v="2025-04-22T00:00:00"/>
    <s v="CUST0214"/>
    <s v="Consumer"/>
    <s v="Notebook Set"/>
    <s v="Office Supplies"/>
    <s v="North"/>
    <n v="1"/>
    <n v="15.3"/>
    <n v="0.2"/>
    <n v="12.24"/>
    <n v="1.31"/>
    <n v="3.0600000000000005"/>
  </r>
  <r>
    <s v="ORD01157"/>
    <d v="2025-04-22T00:00:00"/>
    <s v="CUST0081"/>
    <s v="Consumer"/>
    <s v="Water Bottle"/>
    <s v="Lifestyle"/>
    <s v="North"/>
    <n v="1"/>
    <n v="20.239999999999998"/>
    <n v="0.1"/>
    <n v="18.21"/>
    <n v="4.4400000000000004"/>
    <n v="2.024"/>
  </r>
  <r>
    <s v="ORD00980"/>
    <d v="2025-04-22T00:00:00"/>
    <s v="CUST0081"/>
    <s v="Corporate"/>
    <s v="Desk Lamp"/>
    <s v="Furniture"/>
    <s v="South"/>
    <n v="1"/>
    <n v="41.62"/>
    <n v="0.15"/>
    <n v="35.369999999999997"/>
    <n v="7.04"/>
    <n v="6.2429999999999994"/>
  </r>
  <r>
    <s v="ORD00106"/>
    <d v="2025-04-23T00:00:00"/>
    <s v="CUST0036"/>
    <s v="Corporate"/>
    <s v="Water Bottle"/>
    <s v="Lifestyle"/>
    <s v="South"/>
    <n v="2"/>
    <n v="23.92"/>
    <n v="0.1"/>
    <n v="43.06"/>
    <n v="8.9700000000000006"/>
    <n v="4.7840000000000007"/>
  </r>
  <r>
    <s v="ORD00814"/>
    <d v="2025-04-23T00:00:00"/>
    <s v="CUST0260"/>
    <s v="Consumer"/>
    <s v="Backpack"/>
    <s v="Lifestyle"/>
    <s v="West"/>
    <n v="2"/>
    <n v="52.54"/>
    <n v="0.2"/>
    <n v="84.06"/>
    <n v="16.96"/>
    <n v="21.016000000000002"/>
  </r>
  <r>
    <s v="ORD01144"/>
    <d v="2025-04-23T00:00:00"/>
    <s v="CUST0087"/>
    <s v="Consumer"/>
    <s v="24-inch Monitor"/>
    <s v="Technology"/>
    <s v="South"/>
    <n v="2"/>
    <n v="209.77"/>
    <n v="0.1"/>
    <n v="377.59"/>
    <n v="38.33"/>
    <n v="41.954000000000008"/>
  </r>
  <r>
    <s v="ORD00327"/>
    <d v="2025-04-23T00:00:00"/>
    <s v="CUST0118"/>
    <s v="Consumer"/>
    <s v="Backpack"/>
    <s v="Lifestyle"/>
    <s v="South"/>
    <n v="1"/>
    <n v="53.17"/>
    <n v="0.1"/>
    <n v="47.86"/>
    <n v="9.83"/>
    <n v="5.3170000000000002"/>
  </r>
  <r>
    <s v="ORD00877"/>
    <d v="2025-04-24T00:00:00"/>
    <s v="CUST0077"/>
    <s v="Consumer"/>
    <s v="24-inch Monitor"/>
    <s v="Technology"/>
    <s v="West"/>
    <n v="2"/>
    <n v="224.72"/>
    <n v="0.05"/>
    <n v="426.96"/>
    <n v="49.8"/>
    <n v="22.472000000000001"/>
  </r>
  <r>
    <s v="ORD00854"/>
    <d v="2025-04-24T00:00:00"/>
    <s v="CUST0004"/>
    <s v="Corporate"/>
    <s v="Notebook Set"/>
    <s v="Office Supplies"/>
    <s v="West"/>
    <n v="1"/>
    <n v="15.04"/>
    <n v="0.1"/>
    <n v="13.54"/>
    <n v="0.83"/>
    <n v="1.504"/>
  </r>
  <r>
    <s v="ORD00238"/>
    <d v="2025-04-25T00:00:00"/>
    <s v="CUST0190"/>
    <s v="Consumer"/>
    <s v="Laptop Pro 14"/>
    <s v="Technology"/>
    <s v="West"/>
    <n v="1"/>
    <n v="927.11"/>
    <n v="0.05"/>
    <n v="880.75"/>
    <n v="101.27"/>
    <n v="46.355500000000006"/>
  </r>
  <r>
    <s v="ORD00798"/>
    <d v="2025-04-25T00:00:00"/>
    <s v="CUST0173"/>
    <s v="Consumer"/>
    <s v="Water Bottle"/>
    <s v="Lifestyle"/>
    <s v="South"/>
    <n v="2"/>
    <n v="20.54"/>
    <n v="0.05"/>
    <n v="39.03"/>
    <n v="8.48"/>
    <n v="2.0539999999999998"/>
  </r>
  <r>
    <s v="ORD00502"/>
    <d v="2025-04-25T00:00:00"/>
    <s v="CUST0179"/>
    <s v="Consumer"/>
    <s v="Wireless Mouse"/>
    <s v="Technology"/>
    <s v="North"/>
    <n v="1"/>
    <n v="25.67"/>
    <n v="0.05"/>
    <n v="24.39"/>
    <n v="5.0599999999999996"/>
    <n v="1.2835000000000001"/>
  </r>
  <r>
    <s v="ORD00086"/>
    <d v="2025-04-25T00:00:00"/>
    <s v="CUST0023"/>
    <s v="Corporate"/>
    <s v="Mechanical Keyboard"/>
    <s v="Technology"/>
    <s v="East"/>
    <n v="2"/>
    <n v="81.89"/>
    <n v="0.15"/>
    <n v="139.21"/>
    <n v="16.829999999999998"/>
    <n v="24.567"/>
  </r>
  <r>
    <s v="ORD01005"/>
    <d v="2025-04-25T00:00:00"/>
    <s v="CUST0120"/>
    <s v="Consumer"/>
    <s v="File Organizer"/>
    <s v="Office Supplies"/>
    <s v="North"/>
    <n v="3"/>
    <n v="17.829999999999998"/>
    <n v="0"/>
    <n v="53.5"/>
    <n v="9.6999999999999993"/>
    <n v="0"/>
  </r>
  <r>
    <s v="ORD00528"/>
    <d v="2025-04-25T00:00:00"/>
    <s v="CUST0187"/>
    <s v="Small Business"/>
    <s v="File Organizer"/>
    <s v="Office Supplies"/>
    <s v="East"/>
    <n v="2"/>
    <n v="18.93"/>
    <n v="0.05"/>
    <n v="35.97"/>
    <n v="7.68"/>
    <n v="1.893"/>
  </r>
  <r>
    <s v="ORD01192"/>
    <d v="2025-04-25T00:00:00"/>
    <s v="CUST0295"/>
    <s v="Consumer"/>
    <s v="Water Bottle"/>
    <s v="Lifestyle"/>
    <s v="East"/>
    <n v="2"/>
    <n v="23.12"/>
    <n v="0.15"/>
    <n v="39.31"/>
    <n v="7.72"/>
    <n v="6.9359999999999999"/>
  </r>
  <r>
    <s v="ORD00506"/>
    <d v="2025-04-26T00:00:00"/>
    <s v="CUST0050"/>
    <s v="Consumer"/>
    <s v="Laptop Pro 14"/>
    <s v="Technology"/>
    <s v="South"/>
    <n v="2"/>
    <n v="916.96"/>
    <n v="0"/>
    <n v="1833.92"/>
    <n v="172.72"/>
    <n v="0"/>
  </r>
  <r>
    <s v="ORD00141"/>
    <d v="2025-04-26T00:00:00"/>
    <s v="CUST0123"/>
    <s v="Consumer"/>
    <s v="File Organizer"/>
    <s v="Office Supplies"/>
    <s v="South"/>
    <n v="2"/>
    <n v="19.079999999999998"/>
    <n v="0.1"/>
    <n v="34.35"/>
    <n v="3.52"/>
    <n v="3.8159999999999998"/>
  </r>
  <r>
    <s v="ORD00460"/>
    <d v="2025-04-28T00:00:00"/>
    <s v="CUST0028"/>
    <s v="Corporate"/>
    <s v="24-inch Monitor"/>
    <s v="Technology"/>
    <s v="South"/>
    <n v="2"/>
    <n v="228.26"/>
    <n v="0.05"/>
    <n v="433.69"/>
    <n v="52.81"/>
    <n v="22.826000000000001"/>
  </r>
  <r>
    <s v="ORD00075"/>
    <d v="2025-04-28T00:00:00"/>
    <s v="CUST0133"/>
    <s v="Corporate"/>
    <s v="Laptop Pro 14"/>
    <s v="Technology"/>
    <s v="South"/>
    <n v="3"/>
    <n v="956.66"/>
    <n v="0.1"/>
    <n v="2582.9699999999998"/>
    <n v="381.62"/>
    <n v="286.99799999999999"/>
  </r>
  <r>
    <s v="ORD00291"/>
    <d v="2025-04-28T00:00:00"/>
    <s v="CUST0138"/>
    <s v="Consumer"/>
    <s v="Standing Desk"/>
    <s v="Furniture"/>
    <s v="South"/>
    <n v="3"/>
    <n v="322.02"/>
    <n v="0"/>
    <n v="966.06"/>
    <n v="142.46"/>
    <n v="0"/>
  </r>
  <r>
    <s v="ORD00152"/>
    <d v="2025-04-28T00:00:00"/>
    <s v="CUST0284"/>
    <s v="Corporate"/>
    <s v="File Organizer"/>
    <s v="Office Supplies"/>
    <s v="South"/>
    <n v="1"/>
    <n v="18.32"/>
    <n v="0.05"/>
    <n v="17.399999999999999"/>
    <n v="4.53"/>
    <n v="0.91600000000000004"/>
  </r>
  <r>
    <s v="ORD00209"/>
    <d v="2025-04-29T00:00:00"/>
    <s v="CUST0162"/>
    <s v="Corporate"/>
    <s v="Desk Lamp"/>
    <s v="Furniture"/>
    <s v="South"/>
    <n v="1"/>
    <n v="42.52"/>
    <n v="0.05"/>
    <n v="40.39"/>
    <n v="7.27"/>
    <n v="2.1260000000000003"/>
  </r>
  <r>
    <s v="ORD01060"/>
    <d v="2025-04-29T00:00:00"/>
    <s v="CUST0113"/>
    <s v="Consumer"/>
    <s v="Printer Paper"/>
    <s v="Office Supplies"/>
    <s v="East"/>
    <n v="3"/>
    <n v="9.4600000000000009"/>
    <n v="0"/>
    <n v="28.38"/>
    <n v="3.79"/>
    <n v="0"/>
  </r>
  <r>
    <s v="ORD00391"/>
    <d v="2025-04-30T00:00:00"/>
    <s v="CUST0247"/>
    <s v="Small Business"/>
    <s v="Backpack"/>
    <s v="Lifestyle"/>
    <s v="North"/>
    <n v="2"/>
    <n v="59.44"/>
    <n v="0.05"/>
    <n v="112.93"/>
    <n v="21.34"/>
    <n v="5.944"/>
  </r>
  <r>
    <s v="ORD00988"/>
    <d v="2025-04-30T00:00:00"/>
    <s v="CUST0069"/>
    <s v="Consumer"/>
    <s v="Standing Desk"/>
    <s v="Furniture"/>
    <s v="West"/>
    <n v="3"/>
    <n v="316.23"/>
    <n v="0"/>
    <n v="948.68"/>
    <n v="103.35"/>
    <n v="0"/>
  </r>
  <r>
    <s v="ORD00888"/>
    <d v="2025-04-30T00:00:00"/>
    <s v="CUST0218"/>
    <s v="Consumer"/>
    <s v="Desk Lamp"/>
    <s v="Furniture"/>
    <s v="North"/>
    <n v="1"/>
    <n v="38.94"/>
    <n v="0"/>
    <n v="38.94"/>
    <n v="8.5299999999999994"/>
    <n v="0"/>
  </r>
  <r>
    <s v="ORD00626"/>
    <d v="2025-04-30T00:00:00"/>
    <s v="CUST0114"/>
    <s v="Consumer"/>
    <s v="File Organizer"/>
    <s v="Office Supplies"/>
    <s v="North"/>
    <n v="2"/>
    <n v="19.16"/>
    <n v="0"/>
    <n v="38.33"/>
    <n v="4.87"/>
    <n v="0"/>
  </r>
  <r>
    <s v="ORD01124"/>
    <d v="2025-04-30T00:00:00"/>
    <s v="CUST0124"/>
    <s v="Small Business"/>
    <s v="Mechanical Keyboard"/>
    <s v="Technology"/>
    <s v="West"/>
    <n v="1"/>
    <n v="79.78"/>
    <n v="0.05"/>
    <n v="75.790000000000006"/>
    <n v="10.7"/>
    <n v="3.9890000000000003"/>
  </r>
  <r>
    <s v="ORD00153"/>
    <d v="2025-05-01T00:00:00"/>
    <s v="CUST0108"/>
    <s v="Corporate"/>
    <s v="Water Bottle"/>
    <s v="Lifestyle"/>
    <s v="East"/>
    <n v="2"/>
    <n v="23.34"/>
    <n v="0.15"/>
    <n v="39.69"/>
    <n v="6.15"/>
    <n v="7.0019999999999998"/>
  </r>
  <r>
    <s v="ORD01091"/>
    <d v="2025-05-01T00:00:00"/>
    <s v="CUST0146"/>
    <s v="Consumer"/>
    <s v="24-inch Monitor"/>
    <s v="Technology"/>
    <s v="East"/>
    <n v="2"/>
    <n v="203.32"/>
    <n v="0"/>
    <n v="406.65"/>
    <n v="47.8"/>
    <n v="0"/>
  </r>
  <r>
    <s v="ORD00989"/>
    <d v="2025-05-01T00:00:00"/>
    <s v="CUST0136"/>
    <s v="Corporate"/>
    <s v="Backpack"/>
    <s v="Lifestyle"/>
    <s v="West"/>
    <n v="2"/>
    <n v="53.08"/>
    <n v="0.05"/>
    <n v="100.86"/>
    <n v="16.45"/>
    <n v="5.3079999999999998"/>
  </r>
  <r>
    <s v="ORD00651"/>
    <d v="2025-05-01T00:00:00"/>
    <s v="CUST0291"/>
    <s v="Consumer"/>
    <s v="File Organizer"/>
    <s v="Office Supplies"/>
    <s v="South"/>
    <n v="2"/>
    <n v="19.34"/>
    <n v="0"/>
    <n v="38.68"/>
    <n v="7.84"/>
    <n v="0"/>
  </r>
  <r>
    <s v="ORD00662"/>
    <d v="2025-05-01T00:00:00"/>
    <s v="CUST0232"/>
    <s v="Consumer"/>
    <s v="File Organizer"/>
    <s v="Office Supplies"/>
    <s v="West"/>
    <n v="3"/>
    <n v="19.46"/>
    <n v="0"/>
    <n v="58.38"/>
    <n v="6.15"/>
    <n v="0"/>
  </r>
  <r>
    <s v="ORD00015"/>
    <d v="2025-05-01T00:00:00"/>
    <s v="CUST0152"/>
    <s v="Consumer"/>
    <s v="24-inch Monitor"/>
    <s v="Technology"/>
    <s v="South"/>
    <n v="1"/>
    <n v="209.36"/>
    <n v="0.05"/>
    <n v="198.89"/>
    <n v="41.56"/>
    <n v="10.468000000000002"/>
  </r>
  <r>
    <s v="ORD01133"/>
    <d v="2025-05-02T00:00:00"/>
    <s v="CUST0025"/>
    <s v="Consumer"/>
    <s v="Standing Desk"/>
    <s v="Furniture"/>
    <s v="East"/>
    <n v="1"/>
    <n v="313.86"/>
    <n v="0"/>
    <n v="313.86"/>
    <n v="63.62"/>
    <n v="0"/>
  </r>
  <r>
    <s v="ORD00066"/>
    <d v="2025-05-02T00:00:00"/>
    <s v="CUST0046"/>
    <s v="Consumer"/>
    <s v="Mechanical Keyboard"/>
    <s v="Technology"/>
    <s v="North"/>
    <n v="1"/>
    <n v="68.83"/>
    <n v="0"/>
    <n v="68.83"/>
    <n v="7.17"/>
    <n v="0"/>
  </r>
  <r>
    <s v="ORD00588"/>
    <d v="2025-05-02T00:00:00"/>
    <s v="CUST0045"/>
    <s v="Corporate"/>
    <s v="Laptop Pro 14"/>
    <s v="Technology"/>
    <s v="North"/>
    <n v="3"/>
    <n v="871.83"/>
    <n v="0.1"/>
    <n v="2353.94"/>
    <n v="469.41"/>
    <n v="261.54900000000004"/>
  </r>
  <r>
    <s v="ORD00049"/>
    <d v="2025-05-02T00:00:00"/>
    <s v="CUST0217"/>
    <s v="Consumer"/>
    <s v="Wireless Mouse"/>
    <s v="Technology"/>
    <s v="North"/>
    <n v="5"/>
    <n v="27.28"/>
    <n v="0.05"/>
    <n v="129.56"/>
    <n v="29.53"/>
    <n v="6.82"/>
  </r>
  <r>
    <s v="ORD00036"/>
    <d v="2025-05-02T00:00:00"/>
    <s v="CUST0192"/>
    <s v="Consumer"/>
    <s v="Laptop Pro 14"/>
    <s v="Technology"/>
    <s v="South"/>
    <n v="1"/>
    <n v="1032.58"/>
    <n v="0"/>
    <n v="1032.58"/>
    <n v="214.42"/>
    <n v="0"/>
  </r>
  <r>
    <s v="ORD00779"/>
    <d v="2025-05-02T00:00:00"/>
    <s v="CUST0061"/>
    <s v="Small Business"/>
    <s v="Mechanical Keyboard"/>
    <s v="Technology"/>
    <s v="North"/>
    <n v="2"/>
    <n v="73.47"/>
    <n v="0.05"/>
    <n v="139.59"/>
    <n v="18.16"/>
    <n v="7.3470000000000004"/>
  </r>
  <r>
    <s v="ORD00105"/>
    <d v="2025-05-02T00:00:00"/>
    <s v="CUST0164"/>
    <s v="Corporate"/>
    <s v="Wireless Mouse"/>
    <s v="Technology"/>
    <s v="North"/>
    <n v="1"/>
    <n v="26.57"/>
    <n v="0.1"/>
    <n v="23.92"/>
    <n v="3.31"/>
    <n v="2.657"/>
  </r>
  <r>
    <s v="ORD00780"/>
    <d v="2025-05-03T00:00:00"/>
    <s v="CUST0089"/>
    <s v="Small Business"/>
    <s v="24-inch Monitor"/>
    <s v="Technology"/>
    <s v="North"/>
    <n v="2"/>
    <n v="210.08"/>
    <n v="0.05"/>
    <n v="399.15"/>
    <n v="75.569999999999993"/>
    <n v="21.008000000000003"/>
  </r>
  <r>
    <s v="ORD00560"/>
    <d v="2025-05-03T00:00:00"/>
    <s v="CUST0009"/>
    <s v="Small Business"/>
    <s v="24-inch Monitor"/>
    <s v="Technology"/>
    <s v="West"/>
    <n v="1"/>
    <n v="205.05"/>
    <n v="0"/>
    <n v="205.05"/>
    <n v="28.78"/>
    <n v="0"/>
  </r>
  <r>
    <s v="ORD00778"/>
    <d v="2025-05-03T00:00:00"/>
    <s v="CUST0219"/>
    <s v="Consumer"/>
    <s v="Office Chair"/>
    <s v="Furniture"/>
    <s v="West"/>
    <n v="1"/>
    <n v="179.39"/>
    <n v="0"/>
    <n v="179.39"/>
    <n v="46.17"/>
    <n v="0"/>
  </r>
  <r>
    <s v="ORD00667"/>
    <d v="2025-05-03T00:00:00"/>
    <s v="CUST0191"/>
    <s v="Small Business"/>
    <s v="Notebook Set"/>
    <s v="Office Supplies"/>
    <s v="West"/>
    <n v="1"/>
    <n v="13.96"/>
    <n v="0.05"/>
    <n v="13.27"/>
    <n v="2.5299999999999998"/>
    <n v="0.69800000000000006"/>
  </r>
  <r>
    <s v="ORD00871"/>
    <d v="2025-05-05T00:00:00"/>
    <s v="CUST0082"/>
    <s v="Consumer"/>
    <s v="Notebook Set"/>
    <s v="Office Supplies"/>
    <s v="West"/>
    <n v="2"/>
    <n v="14.82"/>
    <n v="0.05"/>
    <n v="28.16"/>
    <n v="6.79"/>
    <n v="1.4820000000000002"/>
  </r>
  <r>
    <s v="ORD00173"/>
    <d v="2025-05-05T00:00:00"/>
    <s v="CUST0109"/>
    <s v="Consumer"/>
    <s v="Desk Lamp"/>
    <s v="Furniture"/>
    <s v="East"/>
    <n v="1"/>
    <n v="42.87"/>
    <n v="0.1"/>
    <n v="38.58"/>
    <n v="4.59"/>
    <n v="4.2869999999999999"/>
  </r>
  <r>
    <s v="ORD00899"/>
    <d v="2025-05-05T00:00:00"/>
    <s v="CUST0037"/>
    <s v="Corporate"/>
    <s v="Backpack"/>
    <s v="Lifestyle"/>
    <s v="West"/>
    <n v="4"/>
    <n v="54.31"/>
    <n v="0.05"/>
    <n v="206.36"/>
    <n v="47.2"/>
    <n v="10.862000000000002"/>
  </r>
  <r>
    <s v="ORD00629"/>
    <d v="2025-05-06T00:00:00"/>
    <s v="CUST0068"/>
    <s v="Consumer"/>
    <s v="Mechanical Keyboard"/>
    <s v="Technology"/>
    <s v="North"/>
    <n v="3"/>
    <n v="68.83"/>
    <n v="0.05"/>
    <n v="196.15"/>
    <n v="26.2"/>
    <n v="10.3245"/>
  </r>
  <r>
    <s v="ORD01020"/>
    <d v="2025-05-06T00:00:00"/>
    <s v="CUST0138"/>
    <s v="Consumer"/>
    <s v="Water Bottle"/>
    <s v="Lifestyle"/>
    <s v="South"/>
    <n v="2"/>
    <n v="20.59"/>
    <n v="0.05"/>
    <n v="39.130000000000003"/>
    <n v="9.42"/>
    <n v="2.0590000000000002"/>
  </r>
  <r>
    <s v="ORD00706"/>
    <d v="2025-05-07T00:00:00"/>
    <s v="CUST0228"/>
    <s v="Consumer"/>
    <s v="File Organizer"/>
    <s v="Office Supplies"/>
    <s v="West"/>
    <n v="1"/>
    <n v="16.239999999999998"/>
    <n v="0.05"/>
    <n v="15.42"/>
    <n v="1.29"/>
    <n v="0.81199999999999994"/>
  </r>
  <r>
    <s v="ORD00447"/>
    <d v="2025-05-07T00:00:00"/>
    <s v="CUST0187"/>
    <s v="Consumer"/>
    <s v="24-inch Monitor"/>
    <s v="Technology"/>
    <s v="East"/>
    <n v="3"/>
    <n v="213.41"/>
    <n v="0.1"/>
    <n v="576.21"/>
    <n v="60.15"/>
    <n v="64.02300000000001"/>
  </r>
  <r>
    <s v="ORD00340"/>
    <d v="2025-05-07T00:00:00"/>
    <s v="CUST0264"/>
    <s v="Consumer"/>
    <s v="Mechanical Keyboard"/>
    <s v="Technology"/>
    <s v="South"/>
    <n v="3"/>
    <n v="75.2"/>
    <n v="0.05"/>
    <n v="214.33"/>
    <n v="24.81"/>
    <n v="11.280000000000001"/>
  </r>
  <r>
    <s v="ORD00103"/>
    <d v="2025-05-08T00:00:00"/>
    <s v="CUST0027"/>
    <s v="Corporate"/>
    <s v="Office Chair"/>
    <s v="Furniture"/>
    <s v="West"/>
    <n v="1"/>
    <n v="179.91"/>
    <n v="0.05"/>
    <n v="170.91"/>
    <n v="36.869999999999997"/>
    <n v="8.9954999999999998"/>
  </r>
  <r>
    <s v="ORD01006"/>
    <d v="2025-05-08T00:00:00"/>
    <s v="CUST0056"/>
    <s v="Consumer"/>
    <s v="Mechanical Keyboard"/>
    <s v="Technology"/>
    <s v="South"/>
    <n v="1"/>
    <n v="72.150000000000006"/>
    <n v="0"/>
    <n v="72.150000000000006"/>
    <n v="13.3"/>
    <n v="0"/>
  </r>
  <r>
    <s v="ORD00916"/>
    <d v="2025-05-08T00:00:00"/>
    <s v="CUST0225"/>
    <s v="Consumer"/>
    <s v="Water Bottle"/>
    <s v="Lifestyle"/>
    <s v="East"/>
    <n v="3"/>
    <n v="22.19"/>
    <n v="0"/>
    <n v="66.569999999999993"/>
    <n v="8.7899999999999991"/>
    <n v="0"/>
  </r>
  <r>
    <s v="ORD00379"/>
    <d v="2025-05-08T00:00:00"/>
    <s v="CUST0181"/>
    <s v="Small Business"/>
    <s v="24-inch Monitor"/>
    <s v="Technology"/>
    <s v="West"/>
    <n v="2"/>
    <n v="225.25"/>
    <n v="0"/>
    <n v="450.49"/>
    <n v="115.87"/>
    <n v="0"/>
  </r>
  <r>
    <s v="ORD00582"/>
    <d v="2025-05-09T00:00:00"/>
    <s v="CUST0213"/>
    <s v="Consumer"/>
    <s v="Backpack"/>
    <s v="Lifestyle"/>
    <s v="North"/>
    <n v="1"/>
    <n v="58.26"/>
    <n v="0.05"/>
    <n v="55.35"/>
    <n v="7.46"/>
    <n v="2.9130000000000003"/>
  </r>
  <r>
    <s v="ORD00887"/>
    <d v="2025-05-09T00:00:00"/>
    <s v="CUST0268"/>
    <s v="Consumer"/>
    <s v="Notebook Set"/>
    <s v="Office Supplies"/>
    <s v="North"/>
    <n v="1"/>
    <n v="13.43"/>
    <n v="0.15"/>
    <n v="11.41"/>
    <n v="0.6"/>
    <n v="2.0145"/>
  </r>
  <r>
    <s v="ORD00133"/>
    <d v="2025-05-10T00:00:00"/>
    <s v="CUST0084"/>
    <s v="Consumer"/>
    <s v="24-inch Monitor"/>
    <s v="Technology"/>
    <s v="East"/>
    <n v="5"/>
    <n v="207.16"/>
    <n v="0"/>
    <n v="1035.79"/>
    <n v="278.33999999999997"/>
    <n v="0"/>
  </r>
  <r>
    <s v="ORD00598"/>
    <d v="2025-05-10T00:00:00"/>
    <s v="CUST0133"/>
    <s v="Consumer"/>
    <s v="Standing Desk"/>
    <s v="Furniture"/>
    <s v="East"/>
    <n v="1"/>
    <n v="347.48"/>
    <n v="0.05"/>
    <n v="330.1"/>
    <n v="39.47"/>
    <n v="17.374000000000002"/>
  </r>
  <r>
    <s v="ORD00193"/>
    <d v="2025-05-10T00:00:00"/>
    <s v="CUST0264"/>
    <s v="Consumer"/>
    <s v="Backpack"/>
    <s v="Lifestyle"/>
    <s v="North"/>
    <n v="4"/>
    <n v="58.09"/>
    <n v="0"/>
    <n v="232.37"/>
    <n v="56.94"/>
    <n v="0"/>
  </r>
  <r>
    <s v="ORD00631"/>
    <d v="2025-05-10T00:00:00"/>
    <s v="CUST0286"/>
    <s v="Corporate"/>
    <s v="Wireless Mouse"/>
    <s v="Technology"/>
    <s v="South"/>
    <n v="1"/>
    <n v="30.71"/>
    <n v="0.1"/>
    <n v="27.64"/>
    <n v="3.48"/>
    <n v="3.0710000000000002"/>
  </r>
  <r>
    <s v="ORD00078"/>
    <d v="2025-05-10T00:00:00"/>
    <s v="CUST0069"/>
    <s v="Corporate"/>
    <s v="24-inch Monitor"/>
    <s v="Technology"/>
    <s v="South"/>
    <n v="3"/>
    <n v="208.81"/>
    <n v="0.05"/>
    <n v="595.1"/>
    <n v="90.6"/>
    <n v="31.321500000000004"/>
  </r>
  <r>
    <s v="ORD00018"/>
    <d v="2025-05-10T00:00:00"/>
    <s v="CUST0280"/>
    <s v="Small Business"/>
    <s v="Office Chair"/>
    <s v="Furniture"/>
    <s v="South"/>
    <n v="1"/>
    <n v="189.42"/>
    <n v="0.1"/>
    <n v="170.48"/>
    <n v="17.32"/>
    <n v="18.942"/>
  </r>
  <r>
    <s v="ORD00496"/>
    <d v="2025-05-10T00:00:00"/>
    <s v="CUST0223"/>
    <s v="Consumer"/>
    <s v="Standing Desk"/>
    <s v="Furniture"/>
    <s v="South"/>
    <n v="5"/>
    <n v="358.68"/>
    <n v="0.1"/>
    <n v="1614.06"/>
    <n v="183.92"/>
    <n v="179.34000000000003"/>
  </r>
  <r>
    <s v="ORD00529"/>
    <d v="2025-05-10T00:00:00"/>
    <s v="CUST0025"/>
    <s v="Consumer"/>
    <s v="24-inch Monitor"/>
    <s v="Technology"/>
    <s v="South"/>
    <n v="1"/>
    <n v="192.04"/>
    <n v="0.05"/>
    <n v="182.43"/>
    <n v="33.07"/>
    <n v="9.6020000000000003"/>
  </r>
  <r>
    <s v="ORD00454"/>
    <d v="2025-05-11T00:00:00"/>
    <s v="CUST0102"/>
    <s v="Corporate"/>
    <s v="Backpack"/>
    <s v="Lifestyle"/>
    <s v="North"/>
    <n v="3"/>
    <n v="57.79"/>
    <n v="0.1"/>
    <n v="156.03"/>
    <n v="36.21"/>
    <n v="17.337"/>
  </r>
  <r>
    <s v="ORD00642"/>
    <d v="2025-05-11T00:00:00"/>
    <s v="CUST0133"/>
    <s v="Corporate"/>
    <s v="File Organizer"/>
    <s v="Office Supplies"/>
    <s v="West"/>
    <n v="1"/>
    <n v="16.59"/>
    <n v="0.05"/>
    <n v="15.76"/>
    <n v="4.17"/>
    <n v="0.82950000000000002"/>
  </r>
  <r>
    <s v="ORD00337"/>
    <d v="2025-05-12T00:00:00"/>
    <s v="CUST0168"/>
    <s v="Consumer"/>
    <s v="Water Bottle"/>
    <s v="Lifestyle"/>
    <s v="East"/>
    <n v="2"/>
    <n v="22.61"/>
    <n v="0.1"/>
    <n v="40.69"/>
    <n v="4.18"/>
    <n v="4.5220000000000002"/>
  </r>
  <r>
    <s v="ORD01180"/>
    <d v="2025-05-12T00:00:00"/>
    <s v="CUST0225"/>
    <s v="Corporate"/>
    <s v="Mechanical Keyboard"/>
    <s v="Technology"/>
    <s v="South"/>
    <n v="2"/>
    <n v="76.39"/>
    <n v="0"/>
    <n v="152.79"/>
    <n v="35.32"/>
    <n v="0"/>
  </r>
  <r>
    <s v="ORD01014"/>
    <d v="2025-05-12T00:00:00"/>
    <s v="CUST0181"/>
    <s v="Small Business"/>
    <s v="Notebook Set"/>
    <s v="Office Supplies"/>
    <s v="South"/>
    <n v="3"/>
    <n v="15.4"/>
    <n v="0"/>
    <n v="46.19"/>
    <n v="10.65"/>
    <n v="0"/>
  </r>
  <r>
    <s v="ORD00081"/>
    <d v="2025-05-12T00:00:00"/>
    <s v="CUST0023"/>
    <s v="Consumer"/>
    <s v="Printer Paper"/>
    <s v="Office Supplies"/>
    <s v="West"/>
    <n v="3"/>
    <n v="8.7799999999999994"/>
    <n v="0.05"/>
    <n v="25.02"/>
    <n v="4.07"/>
    <n v="1.3169999999999999"/>
  </r>
  <r>
    <s v="ORD00619"/>
    <d v="2025-05-12T00:00:00"/>
    <s v="CUST0217"/>
    <s v="Small Business"/>
    <s v="24-inch Monitor"/>
    <s v="Technology"/>
    <s v="South"/>
    <n v="3"/>
    <n v="196.91"/>
    <n v="0"/>
    <n v="590.73"/>
    <n v="83.14"/>
    <n v="0"/>
  </r>
  <r>
    <s v="ORD01193"/>
    <d v="2025-05-14T00:00:00"/>
    <s v="CUST0067"/>
    <s v="Consumer"/>
    <s v="Water Bottle"/>
    <s v="Lifestyle"/>
    <s v="South"/>
    <n v="2"/>
    <n v="20.03"/>
    <n v="0"/>
    <n v="40.06"/>
    <n v="10.81"/>
    <n v="0"/>
  </r>
  <r>
    <s v="ORD00485"/>
    <d v="2025-05-14T00:00:00"/>
    <s v="CUST0103"/>
    <s v="Corporate"/>
    <s v="Desk Lamp"/>
    <s v="Furniture"/>
    <s v="South"/>
    <n v="3"/>
    <n v="45.68"/>
    <n v="0.05"/>
    <n v="130.19999999999999"/>
    <n v="18.309999999999999"/>
    <n v="6.8520000000000003"/>
  </r>
  <r>
    <s v="ORD00591"/>
    <d v="2025-05-14T00:00:00"/>
    <s v="CUST0259"/>
    <s v="Corporate"/>
    <s v="Mechanical Keyboard"/>
    <s v="Technology"/>
    <s v="South"/>
    <n v="1"/>
    <n v="73.36"/>
    <n v="0.05"/>
    <n v="69.7"/>
    <n v="18.170000000000002"/>
    <n v="3.6680000000000001"/>
  </r>
  <r>
    <s v="ORD00182"/>
    <d v="2025-05-14T00:00:00"/>
    <s v="CUST0276"/>
    <s v="Consumer"/>
    <s v="Mechanical Keyboard"/>
    <s v="Technology"/>
    <s v="West"/>
    <n v="1"/>
    <n v="70.099999999999994"/>
    <n v="0.05"/>
    <n v="66.599999999999994"/>
    <n v="13.91"/>
    <n v="3.5049999999999999"/>
  </r>
  <r>
    <s v="ORD00826"/>
    <d v="2025-05-15T00:00:00"/>
    <s v="CUST0229"/>
    <s v="Small Business"/>
    <s v="Water Bottle"/>
    <s v="Lifestyle"/>
    <s v="South"/>
    <n v="4"/>
    <n v="19.97"/>
    <n v="0.05"/>
    <n v="75.89"/>
    <n v="15.17"/>
    <n v="3.9939999999999998"/>
  </r>
  <r>
    <s v="ORD01105"/>
    <d v="2025-05-15T00:00:00"/>
    <s v="CUST0065"/>
    <s v="Corporate"/>
    <s v="Standing Desk"/>
    <s v="Furniture"/>
    <s v="East"/>
    <n v="4"/>
    <n v="308.26"/>
    <n v="0.15"/>
    <n v="1048.07"/>
    <n v="73.95"/>
    <n v="184.95599999999999"/>
  </r>
  <r>
    <s v="ORD01135"/>
    <d v="2025-05-17T00:00:00"/>
    <s v="CUST0019"/>
    <s v="Small Business"/>
    <s v="Office Chair"/>
    <s v="Furniture"/>
    <s v="South"/>
    <n v="4"/>
    <n v="175.28"/>
    <n v="0"/>
    <n v="701.12"/>
    <n v="115.54"/>
    <n v="0"/>
  </r>
  <r>
    <s v="ORD00800"/>
    <d v="2025-05-17T00:00:00"/>
    <s v="CUST0195"/>
    <s v="Small Business"/>
    <s v="Water Bottle"/>
    <s v="Lifestyle"/>
    <s v="North"/>
    <n v="3"/>
    <n v="20.239999999999998"/>
    <n v="0.1"/>
    <n v="54.64"/>
    <n v="10.050000000000001"/>
    <n v="6.0720000000000001"/>
  </r>
  <r>
    <s v="ORD00664"/>
    <d v="2025-05-17T00:00:00"/>
    <s v="CUST0267"/>
    <s v="Consumer"/>
    <s v="Backpack"/>
    <s v="Lifestyle"/>
    <s v="South"/>
    <n v="3"/>
    <n v="51.72"/>
    <n v="0.05"/>
    <n v="147.41"/>
    <n v="13.51"/>
    <n v="7.758"/>
  </r>
  <r>
    <s v="ORD00870"/>
    <d v="2025-05-18T00:00:00"/>
    <s v="CUST0061"/>
    <s v="Corporate"/>
    <s v="Backpack"/>
    <s v="Lifestyle"/>
    <s v="West"/>
    <n v="4"/>
    <n v="54.02"/>
    <n v="0.1"/>
    <n v="194.46"/>
    <n v="20.399999999999999"/>
    <n v="21.608000000000004"/>
  </r>
  <r>
    <s v="ORD00224"/>
    <d v="2025-05-18T00:00:00"/>
    <s v="CUST0214"/>
    <s v="Small Business"/>
    <s v="Mechanical Keyboard"/>
    <s v="Technology"/>
    <s v="North"/>
    <n v="1"/>
    <n v="69.97"/>
    <n v="0"/>
    <n v="69.97"/>
    <n v="10.220000000000001"/>
    <n v="0"/>
  </r>
  <r>
    <s v="ORD00722"/>
    <d v="2025-05-18T00:00:00"/>
    <s v="CUST0043"/>
    <s v="Small Business"/>
    <s v="Standing Desk"/>
    <s v="Furniture"/>
    <s v="East"/>
    <n v="1"/>
    <n v="318.16000000000003"/>
    <n v="0.15"/>
    <n v="270.44"/>
    <n v="23.74"/>
    <n v="47.724000000000004"/>
  </r>
  <r>
    <s v="ORD00384"/>
    <d v="2025-05-18T00:00:00"/>
    <s v="CUST0166"/>
    <s v="Consumer"/>
    <s v="Desk Lamp"/>
    <s v="Furniture"/>
    <s v="South"/>
    <n v="1"/>
    <n v="39.229999999999997"/>
    <n v="0.2"/>
    <n v="31.38"/>
    <n v="6.48"/>
    <n v="7.8460000000000001"/>
  </r>
  <r>
    <s v="ORD01172"/>
    <d v="2025-05-18T00:00:00"/>
    <s v="CUST0281"/>
    <s v="Consumer"/>
    <s v="Desk Lamp"/>
    <s v="Furniture"/>
    <s v="East"/>
    <n v="1"/>
    <n v="42.33"/>
    <n v="0"/>
    <n v="42.33"/>
    <n v="9.9600000000000009"/>
    <n v="0"/>
  </r>
  <r>
    <s v="ORD00077"/>
    <d v="2025-05-19T00:00:00"/>
    <s v="CUST0168"/>
    <s v="Corporate"/>
    <s v="24-inch Monitor"/>
    <s v="Technology"/>
    <s v="South"/>
    <n v="1"/>
    <n v="212.04"/>
    <n v="0.05"/>
    <n v="201.44"/>
    <n v="36.409999999999997"/>
    <n v="10.602"/>
  </r>
  <r>
    <s v="ORD00196"/>
    <d v="2025-05-19T00:00:00"/>
    <s v="CUST0138"/>
    <s v="Corporate"/>
    <s v="24-inch Monitor"/>
    <s v="Technology"/>
    <s v="West"/>
    <n v="1"/>
    <n v="193.13"/>
    <n v="0"/>
    <n v="193.13"/>
    <n v="40.96"/>
    <n v="0"/>
  </r>
  <r>
    <s v="ORD00401"/>
    <d v="2025-05-19T00:00:00"/>
    <s v="CUST0028"/>
    <s v="Small Business"/>
    <s v="Notebook Set"/>
    <s v="Office Supplies"/>
    <s v="North"/>
    <n v="3"/>
    <n v="13.34"/>
    <n v="0.15"/>
    <n v="34.03"/>
    <n v="5.6"/>
    <n v="6.0029999999999992"/>
  </r>
  <r>
    <s v="ORD01070"/>
    <d v="2025-05-20T00:00:00"/>
    <s v="CUST0262"/>
    <s v="Small Business"/>
    <s v="Desk Lamp"/>
    <s v="Furniture"/>
    <s v="West"/>
    <n v="4"/>
    <n v="40.619999999999997"/>
    <n v="0.05"/>
    <n v="154.36000000000001"/>
    <n v="15.5"/>
    <n v="8.1240000000000006"/>
  </r>
  <r>
    <s v="ORD00185"/>
    <d v="2025-05-21T00:00:00"/>
    <s v="CUST0005"/>
    <s v="Consumer"/>
    <s v="24-inch Monitor"/>
    <s v="Technology"/>
    <s v="South"/>
    <n v="2"/>
    <n v="215.02"/>
    <n v="0"/>
    <n v="430.05"/>
    <n v="90.33"/>
    <n v="0"/>
  </r>
  <r>
    <s v="ORD00960"/>
    <d v="2025-05-21T00:00:00"/>
    <s v="CUST0032"/>
    <s v="Consumer"/>
    <s v="Wireless Mouse"/>
    <s v="Technology"/>
    <s v="East"/>
    <n v="1"/>
    <n v="26.24"/>
    <n v="0"/>
    <n v="26.24"/>
    <n v="4.79"/>
    <n v="0"/>
  </r>
  <r>
    <s v="ORD01042"/>
    <d v="2025-05-21T00:00:00"/>
    <s v="CUST0051"/>
    <s v="Corporate"/>
    <s v="Backpack"/>
    <s v="Lifestyle"/>
    <s v="North"/>
    <n v="1"/>
    <n v="56.69"/>
    <n v="0"/>
    <n v="56.69"/>
    <n v="13.31"/>
    <n v="0"/>
  </r>
  <r>
    <s v="ORD00184"/>
    <d v="2025-05-21T00:00:00"/>
    <s v="CUST0092"/>
    <s v="Consumer"/>
    <s v="Office Chair"/>
    <s v="Furniture"/>
    <s v="North"/>
    <n v="2"/>
    <n v="164.88"/>
    <n v="0"/>
    <n v="329.76"/>
    <n v="77.61"/>
    <n v="0"/>
  </r>
  <r>
    <s v="ORD00242"/>
    <d v="2025-05-22T00:00:00"/>
    <s v="CUST0125"/>
    <s v="Consumer"/>
    <s v="Water Bottle"/>
    <s v="Lifestyle"/>
    <s v="North"/>
    <n v="3"/>
    <n v="20.079999999999998"/>
    <n v="0.05"/>
    <n v="57.24"/>
    <n v="13.82"/>
    <n v="3.012"/>
  </r>
  <r>
    <s v="ORD01147"/>
    <d v="2025-05-22T00:00:00"/>
    <s v="CUST0084"/>
    <s v="Consumer"/>
    <s v="Water Bottle"/>
    <s v="Lifestyle"/>
    <s v="South"/>
    <n v="4"/>
    <n v="24.1"/>
    <n v="0.15"/>
    <n v="81.93"/>
    <n v="19.25"/>
    <n v="14.46"/>
  </r>
  <r>
    <s v="ORD00917"/>
    <d v="2025-05-22T00:00:00"/>
    <s v="CUST0056"/>
    <s v="Consumer"/>
    <s v="Notebook Set"/>
    <s v="Office Supplies"/>
    <s v="South"/>
    <n v="1"/>
    <n v="14.38"/>
    <n v="0.15"/>
    <n v="12.22"/>
    <n v="2.2400000000000002"/>
    <n v="2.157"/>
  </r>
  <r>
    <s v="ORD00416"/>
    <d v="2025-05-23T00:00:00"/>
    <s v="CUST0217"/>
    <s v="Small Business"/>
    <s v="Standing Desk"/>
    <s v="Furniture"/>
    <s v="West"/>
    <n v="1"/>
    <n v="298.11"/>
    <n v="0"/>
    <n v="298.11"/>
    <n v="64.34"/>
    <n v="0"/>
  </r>
  <r>
    <s v="ORD00225"/>
    <d v="2025-05-23T00:00:00"/>
    <s v="CUST0066"/>
    <s v="Corporate"/>
    <s v="Notebook Set"/>
    <s v="Office Supplies"/>
    <s v="North"/>
    <n v="1"/>
    <n v="15.25"/>
    <n v="0"/>
    <n v="15.25"/>
    <n v="2.93"/>
    <n v="0"/>
  </r>
  <r>
    <s v="ORD00754"/>
    <d v="2025-05-23T00:00:00"/>
    <s v="CUST0264"/>
    <s v="Consumer"/>
    <s v="Laptop Pro 14"/>
    <s v="Technology"/>
    <s v="West"/>
    <n v="1"/>
    <n v="858.82"/>
    <n v="0.15"/>
    <n v="730"/>
    <n v="144.09"/>
    <n v="128.82300000000001"/>
  </r>
  <r>
    <s v="ORD00111"/>
    <d v="2025-05-23T00:00:00"/>
    <s v="CUST0250"/>
    <s v="Small Business"/>
    <s v="Water Bottle"/>
    <s v="Lifestyle"/>
    <s v="West"/>
    <n v="1"/>
    <n v="23.87"/>
    <n v="0.1"/>
    <n v="21.48"/>
    <n v="1.99"/>
    <n v="2.387"/>
  </r>
  <r>
    <s v="ORD00940"/>
    <d v="2025-05-24T00:00:00"/>
    <s v="CUST0166"/>
    <s v="Consumer"/>
    <s v="File Organizer"/>
    <s v="Office Supplies"/>
    <s v="West"/>
    <n v="2"/>
    <n v="17.989999999999998"/>
    <n v="0"/>
    <n v="35.99"/>
    <n v="6.87"/>
    <n v="0"/>
  </r>
  <r>
    <s v="ORD00624"/>
    <d v="2025-05-24T00:00:00"/>
    <s v="CUST0069"/>
    <s v="Consumer"/>
    <s v="24-inch Monitor"/>
    <s v="Technology"/>
    <s v="East"/>
    <n v="2"/>
    <n v="221.01"/>
    <n v="0"/>
    <n v="442.02"/>
    <n v="118.12"/>
    <n v="0"/>
  </r>
  <r>
    <s v="ORD01164"/>
    <d v="2025-05-24T00:00:00"/>
    <s v="CUST0017"/>
    <s v="Consumer"/>
    <s v="Office Chair"/>
    <s v="Furniture"/>
    <s v="East"/>
    <n v="3"/>
    <n v="179.36"/>
    <n v="0.15"/>
    <n v="457.36"/>
    <n v="96.45"/>
    <n v="80.712000000000003"/>
  </r>
  <r>
    <s v="ORD00178"/>
    <d v="2025-05-24T00:00:00"/>
    <s v="CUST0231"/>
    <s v="Consumer"/>
    <s v="Desk Lamp"/>
    <s v="Furniture"/>
    <s v="South"/>
    <n v="5"/>
    <n v="42.34"/>
    <n v="0.15"/>
    <n v="179.93"/>
    <n v="38.54"/>
    <n v="31.755000000000003"/>
  </r>
  <r>
    <s v="ORD00746"/>
    <d v="2025-05-24T00:00:00"/>
    <s v="CUST0230"/>
    <s v="Corporate"/>
    <s v="Printer Paper"/>
    <s v="Office Supplies"/>
    <s v="West"/>
    <n v="1"/>
    <n v="8.7100000000000009"/>
    <n v="0.1"/>
    <n v="7.84"/>
    <n v="1.8"/>
    <n v="0.87100000000000011"/>
  </r>
  <r>
    <s v="ORD00047"/>
    <d v="2025-05-24T00:00:00"/>
    <s v="CUST0146"/>
    <s v="Small Business"/>
    <s v="Printer Paper"/>
    <s v="Office Supplies"/>
    <s v="North"/>
    <n v="5"/>
    <n v="8.1999999999999993"/>
    <n v="0.2"/>
    <n v="32.799999999999997"/>
    <n v="5.94"/>
    <n v="8.2000000000000011"/>
  </r>
  <r>
    <s v="ORD00987"/>
    <d v="2025-05-26T00:00:00"/>
    <s v="CUST0162"/>
    <s v="Corporate"/>
    <s v="Office Chair"/>
    <s v="Furniture"/>
    <s v="South"/>
    <n v="2"/>
    <n v="172.4"/>
    <n v="0.15"/>
    <n v="293.08"/>
    <n v="15.73"/>
    <n v="51.72"/>
  </r>
  <r>
    <s v="ORD00729"/>
    <d v="2025-05-26T00:00:00"/>
    <s v="CUST0037"/>
    <s v="Consumer"/>
    <s v="Backpack"/>
    <s v="Lifestyle"/>
    <s v="North"/>
    <n v="1"/>
    <n v="52.18"/>
    <n v="0.1"/>
    <n v="46.96"/>
    <n v="7.04"/>
    <n v="5.218"/>
  </r>
  <r>
    <s v="ORD00856"/>
    <d v="2025-05-26T00:00:00"/>
    <s v="CUST0021"/>
    <s v="Consumer"/>
    <s v="Office Chair"/>
    <s v="Furniture"/>
    <s v="South"/>
    <n v="2"/>
    <n v="177.9"/>
    <n v="0.1"/>
    <n v="320.20999999999998"/>
    <n v="48.16"/>
    <n v="35.580000000000005"/>
  </r>
  <r>
    <s v="ORD00781"/>
    <d v="2025-05-26T00:00:00"/>
    <s v="CUST0056"/>
    <s v="Small Business"/>
    <s v="Standing Desk"/>
    <s v="Furniture"/>
    <s v="West"/>
    <n v="4"/>
    <n v="311.82"/>
    <n v="0"/>
    <n v="1247.28"/>
    <n v="215.91"/>
    <n v="0"/>
  </r>
  <r>
    <s v="ORD01084"/>
    <d v="2025-05-27T00:00:00"/>
    <s v="CUST0042"/>
    <s v="Consumer"/>
    <s v="Standing Desk"/>
    <s v="Furniture"/>
    <s v="East"/>
    <n v="1"/>
    <n v="350.84"/>
    <n v="0"/>
    <n v="350.84"/>
    <n v="59.67"/>
    <n v="0"/>
  </r>
  <r>
    <s v="ORD00236"/>
    <d v="2025-05-28T00:00:00"/>
    <s v="CUST0021"/>
    <s v="Consumer"/>
    <s v="Backpack"/>
    <s v="Lifestyle"/>
    <s v="West"/>
    <n v="1"/>
    <n v="59.03"/>
    <n v="0"/>
    <n v="59.03"/>
    <n v="7.27"/>
    <n v="0"/>
  </r>
  <r>
    <s v="ORD00020"/>
    <d v="2025-05-28T00:00:00"/>
    <s v="CUST0128"/>
    <s v="Consumer"/>
    <s v="Backpack"/>
    <s v="Lifestyle"/>
    <s v="East"/>
    <n v="2"/>
    <n v="56.6"/>
    <n v="0"/>
    <n v="113.19"/>
    <n v="13"/>
    <n v="0"/>
  </r>
  <r>
    <s v="ORD01166"/>
    <d v="2025-05-29T00:00:00"/>
    <s v="CUST0238"/>
    <s v="Corporate"/>
    <s v="Printer Paper"/>
    <s v="Office Supplies"/>
    <s v="South"/>
    <n v="1"/>
    <n v="8.61"/>
    <n v="0.1"/>
    <n v="7.75"/>
    <n v="1.67"/>
    <n v="0.86099999999999999"/>
  </r>
  <r>
    <s v="ORD00823"/>
    <d v="2025-05-29T00:00:00"/>
    <s v="CUST0001"/>
    <s v="Consumer"/>
    <s v="Standing Desk"/>
    <s v="Furniture"/>
    <s v="North"/>
    <n v="2"/>
    <n v="324.55"/>
    <n v="0.1"/>
    <n v="584.19000000000005"/>
    <n v="118.77"/>
    <n v="64.910000000000011"/>
  </r>
  <r>
    <s v="ORD00448"/>
    <d v="2025-05-29T00:00:00"/>
    <s v="CUST0046"/>
    <s v="Consumer"/>
    <s v="Notebook Set"/>
    <s v="Office Supplies"/>
    <s v="North"/>
    <n v="1"/>
    <n v="15.13"/>
    <n v="0.1"/>
    <n v="13.61"/>
    <n v="3.14"/>
    <n v="1.5130000000000001"/>
  </r>
  <r>
    <s v="ORD00670"/>
    <d v="2025-05-29T00:00:00"/>
    <s v="CUST0100"/>
    <s v="Consumer"/>
    <s v="File Organizer"/>
    <s v="Office Supplies"/>
    <s v="South"/>
    <n v="1"/>
    <n v="16.77"/>
    <n v="0.05"/>
    <n v="15.94"/>
    <n v="3.98"/>
    <n v="0.83850000000000002"/>
  </r>
  <r>
    <s v="ORD00397"/>
    <d v="2025-05-29T00:00:00"/>
    <s v="CUST0137"/>
    <s v="Consumer"/>
    <s v="Desk Lamp"/>
    <s v="Furniture"/>
    <s v="East"/>
    <n v="3"/>
    <n v="44.3"/>
    <n v="0.05"/>
    <n v="126.25"/>
    <n v="11.68"/>
    <n v="6.6449999999999996"/>
  </r>
  <r>
    <s v="ORD00961"/>
    <d v="2025-05-29T00:00:00"/>
    <s v="CUST0019"/>
    <s v="Consumer"/>
    <s v="File Organizer"/>
    <s v="Office Supplies"/>
    <s v="West"/>
    <n v="1"/>
    <n v="17.93"/>
    <n v="0.1"/>
    <n v="16.14"/>
    <n v="1.4"/>
    <n v="1.7930000000000001"/>
  </r>
  <r>
    <s v="ORD00981"/>
    <d v="2025-05-30T00:00:00"/>
    <s v="CUST0026"/>
    <s v="Consumer"/>
    <s v="Backpack"/>
    <s v="Lifestyle"/>
    <s v="North"/>
    <n v="1"/>
    <n v="52.33"/>
    <n v="0.2"/>
    <n v="41.86"/>
    <n v="5.87"/>
    <n v="10.466000000000001"/>
  </r>
  <r>
    <s v="ORD00348"/>
    <d v="2025-05-30T00:00:00"/>
    <s v="CUST0285"/>
    <s v="Corporate"/>
    <s v="Printer Paper"/>
    <s v="Office Supplies"/>
    <s v="West"/>
    <n v="3"/>
    <n v="9.4499999999999993"/>
    <n v="0.15"/>
    <n v="24.09"/>
    <n v="3.17"/>
    <n v="4.2524999999999995"/>
  </r>
  <r>
    <s v="ORD00758"/>
    <d v="2025-05-30T00:00:00"/>
    <s v="CUST0246"/>
    <s v="Consumer"/>
    <s v="24-inch Monitor"/>
    <s v="Technology"/>
    <s v="East"/>
    <n v="1"/>
    <n v="225.85"/>
    <n v="0.05"/>
    <n v="214.56"/>
    <n v="15.99"/>
    <n v="11.2925"/>
  </r>
  <r>
    <s v="ORD00489"/>
    <d v="2025-06-01T00:00:00"/>
    <s v="CUST0126"/>
    <s v="Corporate"/>
    <s v="Mechanical Keyboard"/>
    <s v="Technology"/>
    <s v="East"/>
    <n v="2"/>
    <n v="80.95"/>
    <n v="0.05"/>
    <n v="153.80000000000001"/>
    <n v="17.16"/>
    <n v="8.0950000000000006"/>
  </r>
  <r>
    <s v="ORD00119"/>
    <d v="2025-06-02T00:00:00"/>
    <s v="CUST0226"/>
    <s v="Consumer"/>
    <s v="Desk Lamp"/>
    <s v="Furniture"/>
    <s v="West"/>
    <n v="5"/>
    <n v="42.9"/>
    <n v="0.1"/>
    <n v="193.07"/>
    <n v="31.68"/>
    <n v="21.450000000000003"/>
  </r>
  <r>
    <s v="ORD01188"/>
    <d v="2025-06-02T00:00:00"/>
    <s v="CUST0018"/>
    <s v="Small Business"/>
    <s v="24-inch Monitor"/>
    <s v="Technology"/>
    <s v="North"/>
    <n v="4"/>
    <n v="218.5"/>
    <n v="0.05"/>
    <n v="830.3"/>
    <n v="147.38999999999999"/>
    <n v="43.7"/>
  </r>
  <r>
    <s v="ORD00170"/>
    <d v="2025-06-03T00:00:00"/>
    <s v="CUST0242"/>
    <s v="Consumer"/>
    <s v="Water Bottle"/>
    <s v="Lifestyle"/>
    <s v="West"/>
    <n v="3"/>
    <n v="22.74"/>
    <n v="0.05"/>
    <n v="64.8"/>
    <n v="5.63"/>
    <n v="3.411"/>
  </r>
  <r>
    <s v="ORD00902"/>
    <d v="2025-06-03T00:00:00"/>
    <s v="CUST0280"/>
    <s v="Consumer"/>
    <s v="File Organizer"/>
    <s v="Office Supplies"/>
    <s v="East"/>
    <n v="1"/>
    <n v="18.89"/>
    <n v="0.15"/>
    <n v="16.059999999999999"/>
    <n v="3.5"/>
    <n v="2.8334999999999999"/>
  </r>
  <r>
    <s v="ORD00208"/>
    <d v="2025-06-03T00:00:00"/>
    <s v="CUST0273"/>
    <s v="Consumer"/>
    <s v="Office Chair"/>
    <s v="Furniture"/>
    <s v="East"/>
    <n v="1"/>
    <n v="168.01"/>
    <n v="0"/>
    <n v="168.01"/>
    <n v="19.53"/>
    <n v="0"/>
  </r>
  <r>
    <s v="ORD00332"/>
    <d v="2025-06-03T00:00:00"/>
    <s v="CUST0290"/>
    <s v="Consumer"/>
    <s v="Water Bottle"/>
    <s v="Lifestyle"/>
    <s v="East"/>
    <n v="4"/>
    <n v="21.69"/>
    <n v="0"/>
    <n v="86.77"/>
    <n v="19.02"/>
    <n v="0"/>
  </r>
  <r>
    <s v="ORD00997"/>
    <d v="2025-06-03T00:00:00"/>
    <s v="CUST0260"/>
    <s v="Consumer"/>
    <s v="Laptop Pro 14"/>
    <s v="Technology"/>
    <s v="East"/>
    <n v="5"/>
    <n v="914.06"/>
    <n v="0"/>
    <n v="4570.29"/>
    <n v="1265.28"/>
    <n v="0"/>
  </r>
  <r>
    <s v="ORD00723"/>
    <d v="2025-06-03T00:00:00"/>
    <s v="CUST0149"/>
    <s v="Consumer"/>
    <s v="Desk Lamp"/>
    <s v="Furniture"/>
    <s v="South"/>
    <n v="1"/>
    <n v="41.51"/>
    <n v="0.05"/>
    <n v="39.44"/>
    <n v="5.37"/>
    <n v="2.0754999999999999"/>
  </r>
  <r>
    <s v="ORD00799"/>
    <d v="2025-06-03T00:00:00"/>
    <s v="CUST0085"/>
    <s v="Consumer"/>
    <s v="Standing Desk"/>
    <s v="Furniture"/>
    <s v="East"/>
    <n v="1"/>
    <n v="322.75"/>
    <n v="0.1"/>
    <n v="290.47000000000003"/>
    <n v="26.99"/>
    <n v="32.274999999999999"/>
  </r>
  <r>
    <s v="ORD00493"/>
    <d v="2025-06-03T00:00:00"/>
    <s v="CUST0093"/>
    <s v="Consumer"/>
    <s v="24-inch Monitor"/>
    <s v="Technology"/>
    <s v="South"/>
    <n v="2"/>
    <n v="216.83"/>
    <n v="0.1"/>
    <n v="390.29"/>
    <n v="83.23"/>
    <n v="43.366000000000007"/>
  </r>
  <r>
    <s v="ORD00922"/>
    <d v="2025-06-04T00:00:00"/>
    <s v="CUST0246"/>
    <s v="Small Business"/>
    <s v="Laptop Pro 14"/>
    <s v="Technology"/>
    <s v="West"/>
    <n v="2"/>
    <n v="915.06"/>
    <n v="0"/>
    <n v="1830.12"/>
    <n v="301.77999999999997"/>
    <n v="0"/>
  </r>
  <r>
    <s v="ORD00399"/>
    <d v="2025-06-04T00:00:00"/>
    <s v="CUST0221"/>
    <s v="Small Business"/>
    <s v="Backpack"/>
    <s v="Lifestyle"/>
    <s v="South"/>
    <n v="2"/>
    <n v="50.88"/>
    <n v="0.1"/>
    <n v="91.58"/>
    <n v="19.78"/>
    <n v="10.176000000000002"/>
  </r>
  <r>
    <s v="ORD00593"/>
    <d v="2025-06-04T00:00:00"/>
    <s v="CUST0171"/>
    <s v="Consumer"/>
    <s v="Standing Desk"/>
    <s v="Furniture"/>
    <s v="East"/>
    <n v="1"/>
    <n v="297.64999999999998"/>
    <n v="0.1"/>
    <n v="267.88"/>
    <n v="38.01"/>
    <n v="29.765000000000001"/>
  </r>
  <r>
    <s v="ORD00030"/>
    <d v="2025-06-04T00:00:00"/>
    <s v="CUST0013"/>
    <s v="Corporate"/>
    <s v="File Organizer"/>
    <s v="Office Supplies"/>
    <s v="West"/>
    <n v="3"/>
    <n v="17.489999999999998"/>
    <n v="0.1"/>
    <n v="47.23"/>
    <n v="5.27"/>
    <n v="5.2469999999999999"/>
  </r>
  <r>
    <s v="ORD00128"/>
    <d v="2025-06-04T00:00:00"/>
    <s v="CUST0074"/>
    <s v="Consumer"/>
    <s v="Laptop Pro 14"/>
    <s v="Technology"/>
    <s v="East"/>
    <n v="1"/>
    <n v="1010.55"/>
    <n v="0"/>
    <n v="1010.55"/>
    <n v="106.8"/>
    <n v="0"/>
  </r>
  <r>
    <s v="ORD00695"/>
    <d v="2025-06-04T00:00:00"/>
    <s v="CUST0019"/>
    <s v="Small Business"/>
    <s v="Notebook Set"/>
    <s v="Office Supplies"/>
    <s v="South"/>
    <n v="3"/>
    <n v="13.17"/>
    <n v="0.15"/>
    <n v="33.58"/>
    <n v="7.75"/>
    <n v="5.9264999999999999"/>
  </r>
  <r>
    <s v="ORD01112"/>
    <d v="2025-06-04T00:00:00"/>
    <s v="CUST0278"/>
    <s v="Corporate"/>
    <s v="Printer Paper"/>
    <s v="Office Supplies"/>
    <s v="North"/>
    <n v="1"/>
    <n v="8.83"/>
    <n v="0"/>
    <n v="8.83"/>
    <n v="2.36"/>
    <n v="0"/>
  </r>
  <r>
    <s v="ORD00101"/>
    <d v="2025-06-07T00:00:00"/>
    <s v="CUST0281"/>
    <s v="Consumer"/>
    <s v="Notebook Set"/>
    <s v="Office Supplies"/>
    <s v="West"/>
    <n v="1"/>
    <n v="14.03"/>
    <n v="0.05"/>
    <n v="13.33"/>
    <n v="2.87"/>
    <n v="0.70150000000000001"/>
  </r>
  <r>
    <s v="ORD00117"/>
    <d v="2025-06-07T00:00:00"/>
    <s v="CUST0140"/>
    <s v="Consumer"/>
    <s v="Wireless Mouse"/>
    <s v="Technology"/>
    <s v="South"/>
    <n v="1"/>
    <n v="30.73"/>
    <n v="0"/>
    <n v="30.73"/>
    <n v="5.09"/>
    <n v="0"/>
  </r>
  <r>
    <s v="ORD00862"/>
    <d v="2025-06-07T00:00:00"/>
    <s v="CUST0131"/>
    <s v="Small Business"/>
    <s v="Backpack"/>
    <s v="Lifestyle"/>
    <s v="East"/>
    <n v="1"/>
    <n v="50.2"/>
    <n v="0.2"/>
    <n v="40.159999999999997"/>
    <n v="6.78"/>
    <n v="10.040000000000001"/>
  </r>
  <r>
    <s v="ORD00801"/>
    <d v="2025-06-07T00:00:00"/>
    <s v="CUST0242"/>
    <s v="Corporate"/>
    <s v="24-inch Monitor"/>
    <s v="Technology"/>
    <s v="South"/>
    <n v="3"/>
    <n v="221.67"/>
    <n v="0.05"/>
    <n v="631.77"/>
    <n v="149.36000000000001"/>
    <n v="33.250500000000002"/>
  </r>
  <r>
    <s v="ORD00791"/>
    <d v="2025-06-07T00:00:00"/>
    <s v="CUST0281"/>
    <s v="Consumer"/>
    <s v="Printer Paper"/>
    <s v="Office Supplies"/>
    <s v="South"/>
    <n v="5"/>
    <n v="9.4"/>
    <n v="0.15"/>
    <n v="39.950000000000003"/>
    <n v="2.82"/>
    <n v="7.05"/>
  </r>
  <r>
    <s v="ORD00210"/>
    <d v="2025-06-07T00:00:00"/>
    <s v="CUST0117"/>
    <s v="Consumer"/>
    <s v="Wireless Mouse"/>
    <s v="Technology"/>
    <s v="East"/>
    <n v="1"/>
    <n v="26.03"/>
    <n v="0.1"/>
    <n v="23.43"/>
    <n v="4.5199999999999996"/>
    <n v="2.6030000000000002"/>
  </r>
  <r>
    <s v="ORD01004"/>
    <d v="2025-06-08T00:00:00"/>
    <s v="CUST0030"/>
    <s v="Consumer"/>
    <s v="Backpack"/>
    <s v="Lifestyle"/>
    <s v="North"/>
    <n v="2"/>
    <n v="53.92"/>
    <n v="0.15"/>
    <n v="91.66"/>
    <n v="16.61"/>
    <n v="16.175999999999998"/>
  </r>
  <r>
    <s v="ORD00915"/>
    <d v="2025-06-09T00:00:00"/>
    <s v="CUST0228"/>
    <s v="Corporate"/>
    <s v="Laptop Pro 14"/>
    <s v="Technology"/>
    <s v="North"/>
    <n v="1"/>
    <n v="949.47"/>
    <n v="0"/>
    <n v="949.47"/>
    <n v="155.69999999999999"/>
    <n v="0"/>
  </r>
  <r>
    <s v="ORD00025"/>
    <d v="2025-06-10T00:00:00"/>
    <s v="CUST0022"/>
    <s v="Consumer"/>
    <s v="24-inch Monitor"/>
    <s v="Technology"/>
    <s v="North"/>
    <n v="3"/>
    <n v="224.67"/>
    <n v="0.1"/>
    <n v="606.6"/>
    <n v="114.04"/>
    <n v="67.400999999999996"/>
  </r>
  <r>
    <s v="ORD00649"/>
    <d v="2025-06-10T00:00:00"/>
    <s v="CUST0227"/>
    <s v="Consumer"/>
    <s v="Desk Lamp"/>
    <s v="Furniture"/>
    <s v="East"/>
    <n v="5"/>
    <n v="39"/>
    <n v="0"/>
    <n v="195.01"/>
    <n v="16.149999999999999"/>
    <n v="0"/>
  </r>
  <r>
    <s v="ORD00714"/>
    <d v="2025-06-10T00:00:00"/>
    <s v="CUST0275"/>
    <s v="Consumer"/>
    <s v="Notebook Set"/>
    <s v="Office Supplies"/>
    <s v="West"/>
    <n v="3"/>
    <n v="13.36"/>
    <n v="0.15"/>
    <n v="34.06"/>
    <n v="4.05"/>
    <n v="6.0119999999999996"/>
  </r>
  <r>
    <s v="ORD00351"/>
    <d v="2025-06-11T00:00:00"/>
    <s v="CUST0152"/>
    <s v="Consumer"/>
    <s v="Printer Paper"/>
    <s v="Office Supplies"/>
    <s v="North"/>
    <n v="1"/>
    <n v="8.58"/>
    <n v="0"/>
    <n v="8.58"/>
    <n v="1.26"/>
    <n v="0"/>
  </r>
  <r>
    <s v="ORD00734"/>
    <d v="2025-06-11T00:00:00"/>
    <s v="CUST0014"/>
    <s v="Consumer"/>
    <s v="Printer Paper"/>
    <s v="Office Supplies"/>
    <s v="South"/>
    <n v="1"/>
    <n v="8.61"/>
    <n v="0"/>
    <n v="8.61"/>
    <n v="2.0499999999999998"/>
    <n v="0"/>
  </r>
  <r>
    <s v="ORD00319"/>
    <d v="2025-06-11T00:00:00"/>
    <s v="CUST0102"/>
    <s v="Corporate"/>
    <s v="Printer Paper"/>
    <s v="Office Supplies"/>
    <s v="South"/>
    <n v="2"/>
    <n v="9.81"/>
    <n v="0.05"/>
    <n v="18.64"/>
    <n v="3.69"/>
    <n v="0.98100000000000009"/>
  </r>
  <r>
    <s v="ORD00007"/>
    <d v="2025-06-11T00:00:00"/>
    <s v="CUST0208"/>
    <s v="Corporate"/>
    <s v="File Organizer"/>
    <s v="Office Supplies"/>
    <s v="West"/>
    <n v="4"/>
    <n v="16.91"/>
    <n v="0"/>
    <n v="67.62"/>
    <n v="6.02"/>
    <n v="0"/>
  </r>
  <r>
    <s v="ORD00217"/>
    <d v="2025-06-12T00:00:00"/>
    <s v="CUST0228"/>
    <s v="Consumer"/>
    <s v="Desk Lamp"/>
    <s v="Furniture"/>
    <s v="West"/>
    <n v="1"/>
    <n v="41.58"/>
    <n v="0.1"/>
    <n v="37.42"/>
    <n v="8.2100000000000009"/>
    <n v="4.1580000000000004"/>
  </r>
  <r>
    <s v="ORD00844"/>
    <d v="2025-06-12T00:00:00"/>
    <s v="CUST0172"/>
    <s v="Corporate"/>
    <s v="Desk Lamp"/>
    <s v="Furniture"/>
    <s v="East"/>
    <n v="3"/>
    <n v="45.63"/>
    <n v="0.05"/>
    <n v="130.06"/>
    <n v="25.6"/>
    <n v="6.8445000000000009"/>
  </r>
  <r>
    <s v="ORD01097"/>
    <d v="2025-06-12T00:00:00"/>
    <s v="CUST0241"/>
    <s v="Consumer"/>
    <s v="Mechanical Keyboard"/>
    <s v="Technology"/>
    <s v="East"/>
    <n v="2"/>
    <n v="67.86"/>
    <n v="0"/>
    <n v="135.72999999999999"/>
    <n v="27.83"/>
    <n v="0"/>
  </r>
  <r>
    <s v="ORD00438"/>
    <d v="2025-06-12T00:00:00"/>
    <s v="CUST0273"/>
    <s v="Corporate"/>
    <s v="Printer Paper"/>
    <s v="Office Supplies"/>
    <s v="South"/>
    <n v="5"/>
    <n v="8.8800000000000008"/>
    <n v="0.1"/>
    <n v="39.97"/>
    <n v="5.8"/>
    <n v="4.4400000000000004"/>
  </r>
  <r>
    <s v="ORD00292"/>
    <d v="2025-06-12T00:00:00"/>
    <s v="CUST0230"/>
    <s v="Consumer"/>
    <s v="Printer Paper"/>
    <s v="Office Supplies"/>
    <s v="East"/>
    <n v="4"/>
    <n v="9.4"/>
    <n v="0"/>
    <n v="37.619999999999997"/>
    <n v="9.61"/>
    <n v="0"/>
  </r>
  <r>
    <s v="ORD00735"/>
    <d v="2025-06-13T00:00:00"/>
    <s v="CUST0104"/>
    <s v="Consumer"/>
    <s v="24-inch Monitor"/>
    <s v="Technology"/>
    <s v="East"/>
    <n v="1"/>
    <n v="222.88"/>
    <n v="0.05"/>
    <n v="211.74"/>
    <n v="16.5"/>
    <n v="11.144"/>
  </r>
  <r>
    <s v="ORD00445"/>
    <d v="2025-06-13T00:00:00"/>
    <s v="CUST0280"/>
    <s v="Corporate"/>
    <s v="Notebook Set"/>
    <s v="Office Supplies"/>
    <s v="South"/>
    <n v="3"/>
    <n v="14.86"/>
    <n v="0.05"/>
    <n v="42.34"/>
    <n v="8.0299999999999994"/>
    <n v="2.2290000000000001"/>
  </r>
  <r>
    <s v="ORD00268"/>
    <d v="2025-06-13T00:00:00"/>
    <s v="CUST0005"/>
    <s v="Small Business"/>
    <s v="Standing Desk"/>
    <s v="Furniture"/>
    <s v="North"/>
    <n v="4"/>
    <n v="332.2"/>
    <n v="0.1"/>
    <n v="1195.93"/>
    <n v="283.48"/>
    <n v="132.88"/>
  </r>
  <r>
    <s v="ORD00437"/>
    <d v="2025-06-14T00:00:00"/>
    <s v="CUST0159"/>
    <s v="Consumer"/>
    <s v="Standing Desk"/>
    <s v="Furniture"/>
    <s v="East"/>
    <n v="1"/>
    <n v="307.31"/>
    <n v="0.2"/>
    <n v="245.85"/>
    <n v="53.69"/>
    <n v="61.462000000000003"/>
  </r>
  <r>
    <s v="ORD01093"/>
    <d v="2025-06-14T00:00:00"/>
    <s v="CUST0225"/>
    <s v="Consumer"/>
    <s v="File Organizer"/>
    <s v="Office Supplies"/>
    <s v="East"/>
    <n v="5"/>
    <n v="16.93"/>
    <n v="0"/>
    <n v="84.65"/>
    <n v="14.26"/>
    <n v="0"/>
  </r>
  <r>
    <s v="ORD00952"/>
    <d v="2025-06-14T00:00:00"/>
    <s v="CUST0144"/>
    <s v="Consumer"/>
    <s v="Office Chair"/>
    <s v="Furniture"/>
    <s v="South"/>
    <n v="1"/>
    <n v="182.02"/>
    <n v="0"/>
    <n v="182.02"/>
    <n v="29.54"/>
    <n v="0"/>
  </r>
  <r>
    <s v="ORD00890"/>
    <d v="2025-06-14T00:00:00"/>
    <s v="CUST0080"/>
    <s v="Consumer"/>
    <s v="File Organizer"/>
    <s v="Office Supplies"/>
    <s v="East"/>
    <n v="1"/>
    <n v="17.3"/>
    <n v="0"/>
    <n v="17.3"/>
    <n v="1.93"/>
    <n v="0"/>
  </r>
  <r>
    <s v="ORD00434"/>
    <d v="2025-06-14T00:00:00"/>
    <s v="CUST0030"/>
    <s v="Corporate"/>
    <s v="Water Bottle"/>
    <s v="Lifestyle"/>
    <s v="West"/>
    <n v="3"/>
    <n v="21.59"/>
    <n v="0"/>
    <n v="64.78"/>
    <n v="6.81"/>
    <n v="0"/>
  </r>
  <r>
    <s v="ORD00891"/>
    <d v="2025-06-14T00:00:00"/>
    <s v="CUST0034"/>
    <s v="Consumer"/>
    <s v="Backpack"/>
    <s v="Lifestyle"/>
    <s v="East"/>
    <n v="1"/>
    <n v="60.27"/>
    <n v="0.1"/>
    <n v="54.24"/>
    <n v="10.65"/>
    <n v="6.027000000000001"/>
  </r>
  <r>
    <s v="ORD01165"/>
    <d v="2025-06-14T00:00:00"/>
    <s v="CUST0169"/>
    <s v="Consumer"/>
    <s v="Water Bottle"/>
    <s v="Lifestyle"/>
    <s v="West"/>
    <n v="2"/>
    <n v="22.35"/>
    <n v="0.05"/>
    <n v="42.47"/>
    <n v="10.25"/>
    <n v="2.2350000000000003"/>
  </r>
  <r>
    <s v="ORD00063"/>
    <d v="2025-06-15T00:00:00"/>
    <s v="CUST0273"/>
    <s v="Consumer"/>
    <s v="Laptop Pro 14"/>
    <s v="Technology"/>
    <s v="West"/>
    <n v="2"/>
    <n v="1035.4100000000001"/>
    <n v="0.15"/>
    <n v="1760.2"/>
    <n v="116.29"/>
    <n v="310.62299999999999"/>
  </r>
  <r>
    <s v="ORD00563"/>
    <d v="2025-06-15T00:00:00"/>
    <s v="CUST0215"/>
    <s v="Consumer"/>
    <s v="Office Chair"/>
    <s v="Furniture"/>
    <s v="South"/>
    <n v="1"/>
    <n v="195.07"/>
    <n v="0.2"/>
    <n v="156.05000000000001"/>
    <n v="7.68"/>
    <n v="39.014000000000003"/>
  </r>
  <r>
    <s v="ORD00969"/>
    <d v="2025-06-15T00:00:00"/>
    <s v="CUST0226"/>
    <s v="Corporate"/>
    <s v="Water Bottle"/>
    <s v="Lifestyle"/>
    <s v="East"/>
    <n v="1"/>
    <n v="24.11"/>
    <n v="0"/>
    <n v="24.11"/>
    <n v="3.83"/>
    <n v="0"/>
  </r>
  <r>
    <s v="ORD00574"/>
    <d v="2025-06-15T00:00:00"/>
    <s v="CUST0108"/>
    <s v="Small Business"/>
    <s v="Water Bottle"/>
    <s v="Lifestyle"/>
    <s v="North"/>
    <n v="1"/>
    <n v="23.73"/>
    <n v="0.1"/>
    <n v="21.36"/>
    <n v="3.07"/>
    <n v="2.3730000000000002"/>
  </r>
  <r>
    <s v="ORD00696"/>
    <d v="2025-06-15T00:00:00"/>
    <s v="CUST0176"/>
    <s v="Small Business"/>
    <s v="Standing Desk"/>
    <s v="Furniture"/>
    <s v="South"/>
    <n v="1"/>
    <n v="353.53"/>
    <n v="0.05"/>
    <n v="335.86"/>
    <n v="50.45"/>
    <n v="17.676500000000001"/>
  </r>
  <r>
    <s v="ORD00636"/>
    <d v="2025-06-16T00:00:00"/>
    <s v="CUST0133"/>
    <s v="Consumer"/>
    <s v="Backpack"/>
    <s v="Lifestyle"/>
    <s v="East"/>
    <n v="3"/>
    <n v="58.44"/>
    <n v="0"/>
    <n v="175.33"/>
    <n v="34.659999999999997"/>
    <n v="0"/>
  </r>
  <r>
    <s v="ORD01026"/>
    <d v="2025-06-17T00:00:00"/>
    <s v="CUST0031"/>
    <s v="Consumer"/>
    <s v="Standing Desk"/>
    <s v="Furniture"/>
    <s v="North"/>
    <n v="4"/>
    <n v="322.08999999999997"/>
    <n v="0"/>
    <n v="1288.3699999999999"/>
    <n v="327.57"/>
    <n v="0"/>
  </r>
  <r>
    <s v="ORD00316"/>
    <d v="2025-06-17T00:00:00"/>
    <s v="CUST0239"/>
    <s v="Consumer"/>
    <s v="Desk Lamp"/>
    <s v="Furniture"/>
    <s v="North"/>
    <n v="2"/>
    <n v="38.24"/>
    <n v="0.15"/>
    <n v="65"/>
    <n v="5.77"/>
    <n v="11.472"/>
  </r>
  <r>
    <s v="ORD00852"/>
    <d v="2025-06-18T00:00:00"/>
    <s v="CUST0107"/>
    <s v="Small Business"/>
    <s v="File Organizer"/>
    <s v="Office Supplies"/>
    <s v="East"/>
    <n v="1"/>
    <n v="17.72"/>
    <n v="0.05"/>
    <n v="16.829999999999998"/>
    <n v="2.57"/>
    <n v="0.88600000000000001"/>
  </r>
  <r>
    <s v="ORD00317"/>
    <d v="2025-06-18T00:00:00"/>
    <s v="CUST0047"/>
    <s v="Corporate"/>
    <s v="Office Chair"/>
    <s v="Furniture"/>
    <s v="West"/>
    <n v="4"/>
    <n v="171.1"/>
    <n v="0.1"/>
    <n v="615.96"/>
    <n v="72.319999999999993"/>
    <n v="68.44"/>
  </r>
  <r>
    <s v="ORD00222"/>
    <d v="2025-06-18T00:00:00"/>
    <s v="CUST0112"/>
    <s v="Corporate"/>
    <s v="Desk Lamp"/>
    <s v="Furniture"/>
    <s v="East"/>
    <n v="1"/>
    <n v="41.87"/>
    <n v="0.05"/>
    <n v="39.78"/>
    <n v="3.92"/>
    <n v="2.0935000000000001"/>
  </r>
  <r>
    <s v="ORD00126"/>
    <d v="2025-06-19T00:00:00"/>
    <s v="CUST0160"/>
    <s v="Corporate"/>
    <s v="24-inch Monitor"/>
    <s v="Technology"/>
    <s v="East"/>
    <n v="1"/>
    <n v="225.62"/>
    <n v="0.15"/>
    <n v="191.77"/>
    <n v="8.59"/>
    <n v="33.842999999999996"/>
  </r>
  <r>
    <s v="ORD00033"/>
    <d v="2025-06-19T00:00:00"/>
    <s v="CUST0262"/>
    <s v="Corporate"/>
    <s v="Standing Desk"/>
    <s v="Furniture"/>
    <s v="South"/>
    <n v="1"/>
    <n v="314.92"/>
    <n v="0.15"/>
    <n v="267.68"/>
    <n v="64.31"/>
    <n v="47.238"/>
  </r>
  <r>
    <s v="ORD00994"/>
    <d v="2025-06-19T00:00:00"/>
    <s v="CUST0093"/>
    <s v="Consumer"/>
    <s v="Office Chair"/>
    <s v="Furniture"/>
    <s v="South"/>
    <n v="2"/>
    <n v="195.6"/>
    <n v="0"/>
    <n v="391.2"/>
    <n v="57.39"/>
    <n v="0"/>
  </r>
  <r>
    <s v="ORD00421"/>
    <d v="2025-06-20T00:00:00"/>
    <s v="CUST0286"/>
    <s v="Small Business"/>
    <s v="Printer Paper"/>
    <s v="Office Supplies"/>
    <s v="South"/>
    <n v="1"/>
    <n v="8.7799999999999994"/>
    <n v="0.05"/>
    <n v="8.34"/>
    <n v="1.1100000000000001"/>
    <n v="0.439"/>
  </r>
  <r>
    <s v="ORD01067"/>
    <d v="2025-06-21T00:00:00"/>
    <s v="CUST0238"/>
    <s v="Corporate"/>
    <s v="Printer Paper"/>
    <s v="Office Supplies"/>
    <s v="West"/>
    <n v="2"/>
    <n v="8.39"/>
    <n v="0.15"/>
    <n v="14.27"/>
    <n v="3.62"/>
    <n v="2.5169999999999999"/>
  </r>
  <r>
    <s v="ORD00277"/>
    <d v="2025-06-22T00:00:00"/>
    <s v="CUST0188"/>
    <s v="Consumer"/>
    <s v="Wireless Mouse"/>
    <s v="Technology"/>
    <s v="North"/>
    <n v="4"/>
    <n v="25.83"/>
    <n v="0.1"/>
    <n v="93"/>
    <n v="21.37"/>
    <n v="10.332000000000001"/>
  </r>
  <r>
    <s v="ORD00051"/>
    <d v="2025-06-22T00:00:00"/>
    <s v="CUST0190"/>
    <s v="Consumer"/>
    <s v="Wireless Mouse"/>
    <s v="Technology"/>
    <s v="South"/>
    <n v="1"/>
    <n v="28.84"/>
    <n v="0"/>
    <n v="28.84"/>
    <n v="6.61"/>
    <n v="0"/>
  </r>
  <r>
    <s v="ORD00308"/>
    <d v="2025-06-22T00:00:00"/>
    <s v="CUST0117"/>
    <s v="Consumer"/>
    <s v="File Organizer"/>
    <s v="Office Supplies"/>
    <s v="West"/>
    <n v="5"/>
    <n v="17.98"/>
    <n v="0.2"/>
    <n v="71.92"/>
    <n v="9.93"/>
    <n v="17.98"/>
  </r>
  <r>
    <s v="ORD00644"/>
    <d v="2025-06-22T00:00:00"/>
    <s v="CUST0042"/>
    <s v="Corporate"/>
    <s v="Notebook Set"/>
    <s v="Office Supplies"/>
    <s v="South"/>
    <n v="3"/>
    <n v="13.27"/>
    <n v="0"/>
    <n v="39.81"/>
    <n v="5.42"/>
    <n v="0"/>
  </r>
  <r>
    <s v="ORD00455"/>
    <d v="2025-06-22T00:00:00"/>
    <s v="CUST0200"/>
    <s v="Consumer"/>
    <s v="Water Bottle"/>
    <s v="Lifestyle"/>
    <s v="North"/>
    <n v="1"/>
    <n v="22.52"/>
    <n v="0.05"/>
    <n v="21.39"/>
    <n v="5.16"/>
    <n v="1.1260000000000001"/>
  </r>
  <r>
    <s v="ORD00136"/>
    <d v="2025-06-23T00:00:00"/>
    <s v="CUST0153"/>
    <s v="Corporate"/>
    <s v="Wireless Mouse"/>
    <s v="Technology"/>
    <s v="West"/>
    <n v="1"/>
    <n v="30.36"/>
    <n v="0"/>
    <n v="30.36"/>
    <n v="6.17"/>
    <n v="0"/>
  </r>
  <r>
    <s v="ORD01170"/>
    <d v="2025-06-23T00:00:00"/>
    <s v="CUST0245"/>
    <s v="Corporate"/>
    <s v="Printer Paper"/>
    <s v="Office Supplies"/>
    <s v="North"/>
    <n v="1"/>
    <n v="8.7100000000000009"/>
    <n v="0.1"/>
    <n v="7.84"/>
    <n v="1.78"/>
    <n v="0.87100000000000011"/>
  </r>
  <r>
    <s v="ORD00534"/>
    <d v="2025-06-23T00:00:00"/>
    <s v="CUST0184"/>
    <s v="Small Business"/>
    <s v="Backpack"/>
    <s v="Lifestyle"/>
    <s v="East"/>
    <n v="1"/>
    <n v="55.59"/>
    <n v="0.15"/>
    <n v="47.25"/>
    <n v="5.09"/>
    <n v="8.3384999999999998"/>
  </r>
  <r>
    <s v="ORD00810"/>
    <d v="2025-06-23T00:00:00"/>
    <s v="CUST0161"/>
    <s v="Corporate"/>
    <s v="Laptop Pro 14"/>
    <s v="Technology"/>
    <s v="West"/>
    <n v="1"/>
    <n v="960.91"/>
    <n v="0.15"/>
    <n v="816.77"/>
    <n v="173.5"/>
    <n v="144.13649999999998"/>
  </r>
  <r>
    <s v="ORD00789"/>
    <d v="2025-06-24T00:00:00"/>
    <s v="CUST0048"/>
    <s v="Corporate"/>
    <s v="Water Bottle"/>
    <s v="Lifestyle"/>
    <s v="South"/>
    <n v="1"/>
    <n v="24.04"/>
    <n v="0"/>
    <n v="24.04"/>
    <n v="5.01"/>
    <n v="0"/>
  </r>
  <r>
    <s v="ORD00751"/>
    <d v="2025-06-24T00:00:00"/>
    <s v="CUST0139"/>
    <s v="Corporate"/>
    <s v="Water Bottle"/>
    <s v="Lifestyle"/>
    <s v="West"/>
    <n v="2"/>
    <n v="23.37"/>
    <n v="0"/>
    <n v="46.75"/>
    <n v="11.84"/>
    <n v="0"/>
  </r>
  <r>
    <s v="ORD00759"/>
    <d v="2025-06-25T00:00:00"/>
    <s v="CUST0010"/>
    <s v="Consumer"/>
    <s v="24-inch Monitor"/>
    <s v="Technology"/>
    <s v="West"/>
    <n v="3"/>
    <n v="226.64"/>
    <n v="0"/>
    <n v="679.93"/>
    <n v="109.4"/>
    <n v="0"/>
  </r>
  <r>
    <s v="ORD00732"/>
    <d v="2025-06-25T00:00:00"/>
    <s v="CUST0111"/>
    <s v="Small Business"/>
    <s v="Laptop Pro 14"/>
    <s v="Technology"/>
    <s v="West"/>
    <n v="2"/>
    <n v="995.1"/>
    <n v="0.15"/>
    <n v="1691.67"/>
    <n v="379.24"/>
    <n v="298.52999999999997"/>
  </r>
  <r>
    <s v="ORD00092"/>
    <d v="2025-06-26T00:00:00"/>
    <s v="CUST0063"/>
    <s v="Consumer"/>
    <s v="Water Bottle"/>
    <s v="Lifestyle"/>
    <s v="East"/>
    <n v="3"/>
    <n v="24.03"/>
    <n v="0"/>
    <n v="72.09"/>
    <n v="7.91"/>
    <n v="0"/>
  </r>
  <r>
    <s v="ORD00705"/>
    <d v="2025-06-26T00:00:00"/>
    <s v="CUST0025"/>
    <s v="Consumer"/>
    <s v="Laptop Pro 14"/>
    <s v="Technology"/>
    <s v="East"/>
    <n v="2"/>
    <n v="1038.54"/>
    <n v="0"/>
    <n v="2077.09"/>
    <n v="220.44"/>
    <n v="0"/>
  </r>
  <r>
    <s v="ORD01161"/>
    <d v="2025-06-27T00:00:00"/>
    <s v="CUST0230"/>
    <s v="Small Business"/>
    <s v="Mechanical Keyboard"/>
    <s v="Technology"/>
    <s v="North"/>
    <n v="1"/>
    <n v="76.900000000000006"/>
    <n v="0.05"/>
    <n v="73.05"/>
    <n v="12.79"/>
    <n v="3.8450000000000006"/>
  </r>
  <r>
    <s v="ORD00221"/>
    <d v="2025-06-27T00:00:00"/>
    <s v="CUST0043"/>
    <s v="Consumer"/>
    <s v="Office Chair"/>
    <s v="Furniture"/>
    <s v="North"/>
    <n v="4"/>
    <n v="180.84"/>
    <n v="0.05"/>
    <n v="687.2"/>
    <n v="61.16"/>
    <n v="36.167999999999999"/>
  </r>
  <r>
    <s v="ORD01162"/>
    <d v="2025-06-27T00:00:00"/>
    <s v="CUST0193"/>
    <s v="Consumer"/>
    <s v="Printer Paper"/>
    <s v="Office Supplies"/>
    <s v="West"/>
    <n v="1"/>
    <n v="8.1199999999999992"/>
    <n v="0"/>
    <n v="8.1199999999999992"/>
    <n v="1.04"/>
    <n v="0"/>
  </r>
  <r>
    <s v="ORD00976"/>
    <d v="2025-06-28T00:00:00"/>
    <s v="CUST0079"/>
    <s v="Consumer"/>
    <s v="24-inch Monitor"/>
    <s v="Technology"/>
    <s v="South"/>
    <n v="2"/>
    <n v="230.06"/>
    <n v="0"/>
    <n v="460.13"/>
    <n v="46.74"/>
    <n v="0"/>
  </r>
  <r>
    <s v="ORD00341"/>
    <d v="2025-06-28T00:00:00"/>
    <s v="CUST0056"/>
    <s v="Consumer"/>
    <s v="File Organizer"/>
    <s v="Office Supplies"/>
    <s v="South"/>
    <n v="3"/>
    <n v="19.309999999999999"/>
    <n v="0"/>
    <n v="57.94"/>
    <n v="15.24"/>
    <n v="0"/>
  </r>
  <r>
    <s v="ORD00700"/>
    <d v="2025-06-28T00:00:00"/>
    <s v="CUST0113"/>
    <s v="Small Business"/>
    <s v="Desk Lamp"/>
    <s v="Furniture"/>
    <s v="North"/>
    <n v="2"/>
    <n v="40.22"/>
    <n v="0.05"/>
    <n v="76.42"/>
    <n v="14.74"/>
    <n v="4.0220000000000002"/>
  </r>
  <r>
    <s v="ORD00041"/>
    <d v="2025-06-28T00:00:00"/>
    <s v="CUST0253"/>
    <s v="Consumer"/>
    <s v="Water Bottle"/>
    <s v="Lifestyle"/>
    <s v="West"/>
    <n v="5"/>
    <n v="20.66"/>
    <n v="0.15"/>
    <n v="87.81"/>
    <n v="6.07"/>
    <n v="15.494999999999999"/>
  </r>
  <r>
    <s v="ORD00483"/>
    <d v="2025-06-29T00:00:00"/>
    <s v="CUST0150"/>
    <s v="Small Business"/>
    <s v="Laptop Pro 14"/>
    <s v="Technology"/>
    <s v="West"/>
    <n v="2"/>
    <n v="983.39"/>
    <n v="0.05"/>
    <n v="1868.45"/>
    <n v="358.66"/>
    <n v="98.338999999999999"/>
  </r>
  <r>
    <s v="ORD00234"/>
    <d v="2025-06-29T00:00:00"/>
    <s v="CUST0139"/>
    <s v="Consumer"/>
    <s v="Wireless Mouse"/>
    <s v="Technology"/>
    <s v="South"/>
    <n v="3"/>
    <n v="28.68"/>
    <n v="0.1"/>
    <n v="77.430000000000007"/>
    <n v="9.51"/>
    <n v="8.6039999999999992"/>
  </r>
  <r>
    <s v="ORD01156"/>
    <d v="2025-06-29T00:00:00"/>
    <s v="CUST0258"/>
    <s v="Corporate"/>
    <s v="Backpack"/>
    <s v="Lifestyle"/>
    <s v="South"/>
    <n v="2"/>
    <n v="54.68"/>
    <n v="0.05"/>
    <n v="103.88"/>
    <n v="7.84"/>
    <n v="5.468"/>
  </r>
  <r>
    <s v="ORD00895"/>
    <d v="2025-06-29T00:00:00"/>
    <s v="CUST0135"/>
    <s v="Small Business"/>
    <s v="Desk Lamp"/>
    <s v="Furniture"/>
    <s v="West"/>
    <n v="1"/>
    <n v="41.27"/>
    <n v="0.1"/>
    <n v="37.14"/>
    <n v="8.66"/>
    <n v="4.1270000000000007"/>
  </r>
  <r>
    <s v="ORD00387"/>
    <d v="2025-06-30T00:00:00"/>
    <s v="CUST0167"/>
    <s v="Consumer"/>
    <s v="Notebook Set"/>
    <s v="Office Supplies"/>
    <s v="South"/>
    <n v="1"/>
    <n v="15.38"/>
    <n v="0.05"/>
    <n v="14.61"/>
    <n v="2.98"/>
    <n v="0.76900000000000013"/>
  </r>
  <r>
    <s v="ORD00558"/>
    <d v="2025-06-30T00:00:00"/>
    <s v="CUST0198"/>
    <s v="Consumer"/>
    <s v="Wireless Mouse"/>
    <s v="Technology"/>
    <s v="West"/>
    <n v="3"/>
    <n v="26.87"/>
    <n v="0.05"/>
    <n v="76.58"/>
    <n v="15.04"/>
    <n v="4.0305"/>
  </r>
  <r>
    <s v="ORD00199"/>
    <d v="2025-06-30T00:00:00"/>
    <s v="CUST0114"/>
    <s v="Consumer"/>
    <s v="Backpack"/>
    <s v="Lifestyle"/>
    <s v="North"/>
    <n v="1"/>
    <n v="50.55"/>
    <n v="0.05"/>
    <n v="48.02"/>
    <n v="6.89"/>
    <n v="2.5274999999999999"/>
  </r>
  <r>
    <s v="ORD01154"/>
    <d v="2025-07-01T00:00:00"/>
    <s v="CUST0278"/>
    <s v="Corporate"/>
    <s v="Water Bottle"/>
    <s v="Lifestyle"/>
    <s v="East"/>
    <n v="1"/>
    <n v="21.93"/>
    <n v="0.05"/>
    <n v="20.84"/>
    <n v="2.5"/>
    <n v="1.0965"/>
  </r>
  <r>
    <s v="ORD00614"/>
    <d v="2025-07-01T00:00:00"/>
    <s v="CUST0103"/>
    <s v="Consumer"/>
    <s v="Mechanical Keyboard"/>
    <s v="Technology"/>
    <s v="East"/>
    <n v="3"/>
    <n v="77.41"/>
    <n v="0"/>
    <n v="232.22"/>
    <n v="56.16"/>
    <n v="0"/>
  </r>
  <r>
    <s v="ORD00098"/>
    <d v="2025-07-01T00:00:00"/>
    <s v="CUST0036"/>
    <s v="Consumer"/>
    <s v="Office Chair"/>
    <s v="Furniture"/>
    <s v="South"/>
    <n v="1"/>
    <n v="188.49"/>
    <n v="0.1"/>
    <n v="169.64"/>
    <n v="39.49"/>
    <n v="18.849"/>
  </r>
  <r>
    <s v="ORD00216"/>
    <d v="2025-07-01T00:00:00"/>
    <s v="CUST0220"/>
    <s v="Consumer"/>
    <s v="Backpack"/>
    <s v="Lifestyle"/>
    <s v="North"/>
    <n v="4"/>
    <n v="49.65"/>
    <n v="0.05"/>
    <n v="188.66"/>
    <n v="24.28"/>
    <n v="9.93"/>
  </r>
  <r>
    <s v="ORD00398"/>
    <d v="2025-07-01T00:00:00"/>
    <s v="CUST0072"/>
    <s v="Corporate"/>
    <s v="Laptop Pro 14"/>
    <s v="Technology"/>
    <s v="West"/>
    <n v="1"/>
    <n v="943.48"/>
    <n v="0"/>
    <n v="943.48"/>
    <n v="221.41"/>
    <n v="0"/>
  </r>
  <r>
    <s v="ORD00270"/>
    <d v="2025-07-02T00:00:00"/>
    <s v="CUST0179"/>
    <s v="Corporate"/>
    <s v="File Organizer"/>
    <s v="Office Supplies"/>
    <s v="South"/>
    <n v="2"/>
    <n v="18.38"/>
    <n v="0.05"/>
    <n v="34.92"/>
    <n v="8.85"/>
    <n v="1.8380000000000001"/>
  </r>
  <r>
    <s v="ORD00065"/>
    <d v="2025-07-02T00:00:00"/>
    <s v="CUST0061"/>
    <s v="Corporate"/>
    <s v="Water Bottle"/>
    <s v="Lifestyle"/>
    <s v="North"/>
    <n v="1"/>
    <n v="23.75"/>
    <n v="0"/>
    <n v="23.75"/>
    <n v="4.1500000000000004"/>
    <n v="0"/>
  </r>
  <r>
    <s v="ORD00886"/>
    <d v="2025-07-02T00:00:00"/>
    <s v="CUST0134"/>
    <s v="Small Business"/>
    <s v="Mechanical Keyboard"/>
    <s v="Technology"/>
    <s v="North"/>
    <n v="2"/>
    <n v="70.48"/>
    <n v="0.1"/>
    <n v="126.87"/>
    <n v="13.09"/>
    <n v="14.096000000000002"/>
  </r>
  <r>
    <s v="ORD00269"/>
    <d v="2025-07-03T00:00:00"/>
    <s v="CUST0070"/>
    <s v="Consumer"/>
    <s v="24-inch Monitor"/>
    <s v="Technology"/>
    <s v="South"/>
    <n v="5"/>
    <n v="210.54"/>
    <n v="0.15"/>
    <n v="894.8"/>
    <n v="53.02"/>
    <n v="157.905"/>
  </r>
  <r>
    <s v="ORD00898"/>
    <d v="2025-07-03T00:00:00"/>
    <s v="CUST0139"/>
    <s v="Consumer"/>
    <s v="Laptop Pro 14"/>
    <s v="Technology"/>
    <s v="South"/>
    <n v="1"/>
    <n v="1020.98"/>
    <n v="0.2"/>
    <n v="816.78"/>
    <n v="80.239999999999995"/>
    <n v="204.19600000000003"/>
  </r>
  <r>
    <s v="ORD00596"/>
    <d v="2025-07-03T00:00:00"/>
    <s v="CUST0020"/>
    <s v="Corporate"/>
    <s v="File Organizer"/>
    <s v="Office Supplies"/>
    <s v="East"/>
    <n v="1"/>
    <n v="17.97"/>
    <n v="0"/>
    <n v="17.97"/>
    <n v="2.5499999999999998"/>
    <n v="0"/>
  </r>
  <r>
    <s v="ORD00218"/>
    <d v="2025-07-03T00:00:00"/>
    <s v="CUST0160"/>
    <s v="Small Business"/>
    <s v="Water Bottle"/>
    <s v="Lifestyle"/>
    <s v="North"/>
    <n v="1"/>
    <n v="21.61"/>
    <n v="0.05"/>
    <n v="20.53"/>
    <n v="2.78"/>
    <n v="1.0805"/>
  </r>
  <r>
    <s v="ORD00587"/>
    <d v="2025-07-04T00:00:00"/>
    <s v="CUST0108"/>
    <s v="Corporate"/>
    <s v="Backpack"/>
    <s v="Lifestyle"/>
    <s v="West"/>
    <n v="1"/>
    <n v="55.15"/>
    <n v="0.1"/>
    <n v="49.64"/>
    <n v="10.58"/>
    <n v="5.5150000000000006"/>
  </r>
  <r>
    <s v="ORD00657"/>
    <d v="2025-07-05T00:00:00"/>
    <s v="CUST0073"/>
    <s v="Small Business"/>
    <s v="24-inch Monitor"/>
    <s v="Technology"/>
    <s v="East"/>
    <n v="1"/>
    <n v="203.22"/>
    <n v="0.1"/>
    <n v="182.9"/>
    <n v="12.4"/>
    <n v="20.322000000000003"/>
  </r>
  <r>
    <s v="ORD00498"/>
    <d v="2025-07-05T00:00:00"/>
    <s v="CUST0144"/>
    <s v="Corporate"/>
    <s v="Mechanical Keyboard"/>
    <s v="Technology"/>
    <s v="South"/>
    <n v="3"/>
    <n v="73.58"/>
    <n v="0"/>
    <n v="220.74"/>
    <n v="29.54"/>
    <n v="0"/>
  </r>
  <r>
    <s v="ORD00118"/>
    <d v="2025-07-06T00:00:00"/>
    <s v="CUST0226"/>
    <s v="Consumer"/>
    <s v="File Organizer"/>
    <s v="Office Supplies"/>
    <s v="West"/>
    <n v="2"/>
    <n v="19.38"/>
    <n v="0.2"/>
    <n v="31.01"/>
    <n v="4.4400000000000004"/>
    <n v="7.7519999999999998"/>
  </r>
  <r>
    <s v="ORD00342"/>
    <d v="2025-07-06T00:00:00"/>
    <s v="CUST0092"/>
    <s v="Small Business"/>
    <s v="Office Chair"/>
    <s v="Furniture"/>
    <s v="South"/>
    <n v="2"/>
    <n v="179.98"/>
    <n v="0.15"/>
    <n v="305.97000000000003"/>
    <n v="49.34"/>
    <n v="53.993999999999993"/>
  </r>
  <r>
    <s v="ORD00420"/>
    <d v="2025-07-06T00:00:00"/>
    <s v="CUST0271"/>
    <s v="Consumer"/>
    <s v="Backpack"/>
    <s v="Lifestyle"/>
    <s v="West"/>
    <n v="1"/>
    <n v="57.31"/>
    <n v="0.05"/>
    <n v="54.45"/>
    <n v="4.8600000000000003"/>
    <n v="2.8655000000000004"/>
  </r>
  <r>
    <s v="ORD00919"/>
    <d v="2025-07-06T00:00:00"/>
    <s v="CUST0012"/>
    <s v="Consumer"/>
    <s v="Office Chair"/>
    <s v="Furniture"/>
    <s v="South"/>
    <n v="2"/>
    <n v="162.55000000000001"/>
    <n v="0"/>
    <n v="325.10000000000002"/>
    <n v="40.32"/>
    <n v="0"/>
  </r>
  <r>
    <s v="ORD00812"/>
    <d v="2025-07-06T00:00:00"/>
    <s v="CUST0120"/>
    <s v="Corporate"/>
    <s v="Wireless Mouse"/>
    <s v="Technology"/>
    <s v="North"/>
    <n v="1"/>
    <n v="26.6"/>
    <n v="0.1"/>
    <n v="23.94"/>
    <n v="5.47"/>
    <n v="2.66"/>
  </r>
  <r>
    <s v="ORD00884"/>
    <d v="2025-07-06T00:00:00"/>
    <s v="CUST0034"/>
    <s v="Corporate"/>
    <s v="Printer Paper"/>
    <s v="Office Supplies"/>
    <s v="North"/>
    <n v="1"/>
    <n v="8.2899999999999991"/>
    <n v="0.15"/>
    <n v="7.05"/>
    <n v="1.32"/>
    <n v="1.2434999999999998"/>
  </r>
  <r>
    <s v="ORD00634"/>
    <d v="2025-07-06T00:00:00"/>
    <s v="CUST0275"/>
    <s v="Consumer"/>
    <s v="Wireless Mouse"/>
    <s v="Technology"/>
    <s v="South"/>
    <n v="2"/>
    <n v="30.57"/>
    <n v="0.15"/>
    <n v="51.97"/>
    <n v="4.1500000000000004"/>
    <n v="9.1709999999999994"/>
  </r>
  <r>
    <s v="ORD00191"/>
    <d v="2025-07-07T00:00:00"/>
    <s v="CUST0232"/>
    <s v="Small Business"/>
    <s v="Water Bottle"/>
    <s v="Lifestyle"/>
    <s v="South"/>
    <n v="1"/>
    <n v="20.46"/>
    <n v="0.05"/>
    <n v="19.440000000000001"/>
    <n v="2.56"/>
    <n v="1.0230000000000001"/>
  </r>
  <r>
    <s v="ORD01127"/>
    <d v="2025-07-07T00:00:00"/>
    <s v="CUST0169"/>
    <s v="Small Business"/>
    <s v="Backpack"/>
    <s v="Lifestyle"/>
    <s v="West"/>
    <n v="2"/>
    <n v="55.5"/>
    <n v="0.1"/>
    <n v="99.9"/>
    <n v="6.4"/>
    <n v="11.100000000000001"/>
  </r>
  <r>
    <s v="ORD00731"/>
    <d v="2025-07-07T00:00:00"/>
    <s v="CUST0194"/>
    <s v="Consumer"/>
    <s v="Wireless Mouse"/>
    <s v="Technology"/>
    <s v="North"/>
    <n v="1"/>
    <n v="29.17"/>
    <n v="0.1"/>
    <n v="26.25"/>
    <n v="2.29"/>
    <n v="2.9170000000000003"/>
  </r>
  <r>
    <s v="ORD00312"/>
    <d v="2025-07-07T00:00:00"/>
    <s v="CUST0116"/>
    <s v="Small Business"/>
    <s v="Desk Lamp"/>
    <s v="Furniture"/>
    <s v="West"/>
    <n v="4"/>
    <n v="44.36"/>
    <n v="0.05"/>
    <n v="168.55"/>
    <n v="27.65"/>
    <n v="8.8719999999999999"/>
  </r>
  <r>
    <s v="ORD00607"/>
    <d v="2025-07-08T00:00:00"/>
    <s v="CUST0259"/>
    <s v="Corporate"/>
    <s v="Office Chair"/>
    <s v="Furniture"/>
    <s v="East"/>
    <n v="1"/>
    <n v="166.51"/>
    <n v="0"/>
    <n v="166.51"/>
    <n v="35.15"/>
    <n v="0"/>
  </r>
  <r>
    <s v="ORD00515"/>
    <d v="2025-07-08T00:00:00"/>
    <s v="CUST0146"/>
    <s v="Corporate"/>
    <s v="File Organizer"/>
    <s v="Office Supplies"/>
    <s v="West"/>
    <n v="3"/>
    <n v="18.13"/>
    <n v="0"/>
    <n v="54.38"/>
    <n v="4.76"/>
    <n v="0"/>
  </r>
  <r>
    <s v="ORD00841"/>
    <d v="2025-07-08T00:00:00"/>
    <s v="CUST0174"/>
    <s v="Consumer"/>
    <s v="Wireless Mouse"/>
    <s v="Technology"/>
    <s v="West"/>
    <n v="2"/>
    <n v="30.18"/>
    <n v="0.1"/>
    <n v="54.32"/>
    <n v="8.7100000000000009"/>
    <n v="6.0360000000000005"/>
  </r>
  <r>
    <s v="ORD00658"/>
    <d v="2025-07-08T00:00:00"/>
    <s v="CUST0011"/>
    <s v="Consumer"/>
    <s v="Standing Desk"/>
    <s v="Furniture"/>
    <s v="East"/>
    <n v="3"/>
    <n v="319.05"/>
    <n v="0.05"/>
    <n v="909.28"/>
    <n v="83.72"/>
    <n v="47.857500000000009"/>
  </r>
  <r>
    <s v="ORD00093"/>
    <d v="2025-07-08T00:00:00"/>
    <s v="CUST0285"/>
    <s v="Corporate"/>
    <s v="Notebook Set"/>
    <s v="Office Supplies"/>
    <s v="South"/>
    <n v="1"/>
    <n v="13.19"/>
    <n v="0.1"/>
    <n v="11.87"/>
    <n v="2.87"/>
    <n v="1.319"/>
  </r>
  <r>
    <s v="ORD00465"/>
    <d v="2025-07-08T00:00:00"/>
    <s v="CUST0156"/>
    <s v="Consumer"/>
    <s v="Mechanical Keyboard"/>
    <s v="Technology"/>
    <s v="North"/>
    <n v="1"/>
    <n v="77.680000000000007"/>
    <n v="0.05"/>
    <n v="73.790000000000006"/>
    <n v="14.02"/>
    <n v="3.8840000000000003"/>
  </r>
  <r>
    <s v="ORD00606"/>
    <d v="2025-07-08T00:00:00"/>
    <s v="CUST0218"/>
    <s v="Consumer"/>
    <s v="File Organizer"/>
    <s v="Office Supplies"/>
    <s v="South"/>
    <n v="4"/>
    <n v="19.489999999999998"/>
    <n v="0"/>
    <n v="77.959999999999994"/>
    <n v="21.53"/>
    <n v="0"/>
  </r>
  <r>
    <s v="ORD00676"/>
    <d v="2025-07-09T00:00:00"/>
    <s v="CUST0156"/>
    <s v="Corporate"/>
    <s v="Desk Lamp"/>
    <s v="Furniture"/>
    <s v="North"/>
    <n v="1"/>
    <n v="44.36"/>
    <n v="0.2"/>
    <n v="35.49"/>
    <n v="3.93"/>
    <n v="8.8719999999999999"/>
  </r>
  <r>
    <s v="ORD00708"/>
    <d v="2025-07-09T00:00:00"/>
    <s v="CUST0293"/>
    <s v="Corporate"/>
    <s v="Wireless Mouse"/>
    <s v="Technology"/>
    <s v="North"/>
    <n v="3"/>
    <n v="27.84"/>
    <n v="0.1"/>
    <n v="75.17"/>
    <n v="18.55"/>
    <n v="8.3520000000000003"/>
  </r>
  <r>
    <s v="ORD00684"/>
    <d v="2025-07-09T00:00:00"/>
    <s v="CUST0136"/>
    <s v="Consumer"/>
    <s v="Desk Lamp"/>
    <s v="Furniture"/>
    <s v="East"/>
    <n v="1"/>
    <n v="37.979999999999997"/>
    <n v="0.1"/>
    <n v="34.18"/>
    <n v="6.45"/>
    <n v="3.798"/>
  </r>
  <r>
    <s v="ORD00187"/>
    <d v="2025-07-09T00:00:00"/>
    <s v="CUST0221"/>
    <s v="Corporate"/>
    <s v="Mechanical Keyboard"/>
    <s v="Technology"/>
    <s v="North"/>
    <n v="2"/>
    <n v="70.930000000000007"/>
    <n v="0.1"/>
    <n v="127.68"/>
    <n v="13.82"/>
    <n v="14.186000000000002"/>
  </r>
  <r>
    <s v="ORD00764"/>
    <d v="2025-07-09T00:00:00"/>
    <s v="CUST0190"/>
    <s v="Consumer"/>
    <s v="Wireless Mouse"/>
    <s v="Technology"/>
    <s v="West"/>
    <n v="4"/>
    <n v="28.51"/>
    <n v="0"/>
    <n v="114.03"/>
    <n v="20.66"/>
    <n v="0"/>
  </r>
  <r>
    <s v="ORD00052"/>
    <d v="2025-07-10T00:00:00"/>
    <s v="CUST0149"/>
    <s v="Small Business"/>
    <s v="Backpack"/>
    <s v="Lifestyle"/>
    <s v="South"/>
    <n v="1"/>
    <n v="49.63"/>
    <n v="0.2"/>
    <n v="39.71"/>
    <n v="9.64"/>
    <n v="9.9260000000000019"/>
  </r>
  <r>
    <s v="ORD00951"/>
    <d v="2025-07-10T00:00:00"/>
    <s v="CUST0257"/>
    <s v="Corporate"/>
    <s v="Printer Paper"/>
    <s v="Office Supplies"/>
    <s v="South"/>
    <n v="1"/>
    <n v="8.56"/>
    <n v="0.1"/>
    <n v="7.7"/>
    <n v="0.82"/>
    <n v="0.85600000000000009"/>
  </r>
  <r>
    <s v="ORD01114"/>
    <d v="2025-07-10T00:00:00"/>
    <s v="CUST0155"/>
    <s v="Consumer"/>
    <s v="Office Chair"/>
    <s v="Furniture"/>
    <s v="South"/>
    <n v="2"/>
    <n v="177.56"/>
    <n v="0.05"/>
    <n v="337.37"/>
    <n v="90.31"/>
    <n v="17.756"/>
  </r>
  <r>
    <s v="ORD00276"/>
    <d v="2025-07-10T00:00:00"/>
    <s v="CUST0188"/>
    <s v="Corporate"/>
    <s v="Notebook Set"/>
    <s v="Office Supplies"/>
    <s v="South"/>
    <n v="1"/>
    <n v="12.67"/>
    <n v="0.1"/>
    <n v="11.4"/>
    <n v="1.35"/>
    <n v="1.2670000000000001"/>
  </r>
  <r>
    <s v="ORD00130"/>
    <d v="2025-07-11T00:00:00"/>
    <s v="CUST0175"/>
    <s v="Corporate"/>
    <s v="Laptop Pro 14"/>
    <s v="Technology"/>
    <s v="West"/>
    <n v="2"/>
    <n v="869.19"/>
    <n v="0"/>
    <n v="1738.38"/>
    <n v="435.43"/>
    <n v="0"/>
  </r>
  <r>
    <s v="ORD00362"/>
    <d v="2025-07-11T00:00:00"/>
    <s v="CUST0277"/>
    <s v="Consumer"/>
    <s v="Backpack"/>
    <s v="Lifestyle"/>
    <s v="East"/>
    <n v="1"/>
    <n v="57.75"/>
    <n v="0.15"/>
    <n v="49.09"/>
    <n v="10.9"/>
    <n v="8.6624999999999996"/>
  </r>
  <r>
    <s v="ORD00690"/>
    <d v="2025-07-11T00:00:00"/>
    <s v="CUST0292"/>
    <s v="Consumer"/>
    <s v="Water Bottle"/>
    <s v="Lifestyle"/>
    <s v="North"/>
    <n v="1"/>
    <n v="21.77"/>
    <n v="0.1"/>
    <n v="19.59"/>
    <n v="2.75"/>
    <n v="2.177"/>
  </r>
  <r>
    <s v="ORD00831"/>
    <d v="2025-07-12T00:00:00"/>
    <s v="CUST0069"/>
    <s v="Consumer"/>
    <s v="Laptop Pro 14"/>
    <s v="Technology"/>
    <s v="North"/>
    <n v="3"/>
    <n v="1016.49"/>
    <n v="0"/>
    <n v="3049.46"/>
    <n v="686.85"/>
    <n v="0"/>
  </r>
  <r>
    <s v="ORD01168"/>
    <d v="2025-07-12T00:00:00"/>
    <s v="CUST0176"/>
    <s v="Corporate"/>
    <s v="Office Chair"/>
    <s v="Furniture"/>
    <s v="South"/>
    <n v="2"/>
    <n v="187.14"/>
    <n v="0.05"/>
    <n v="355.56"/>
    <n v="56.08"/>
    <n v="18.713999999999999"/>
  </r>
  <r>
    <s v="ORD00376"/>
    <d v="2025-07-12T00:00:00"/>
    <s v="CUST0059"/>
    <s v="Consumer"/>
    <s v="Notebook Set"/>
    <s v="Office Supplies"/>
    <s v="East"/>
    <n v="3"/>
    <n v="13.08"/>
    <n v="0.15"/>
    <n v="33.340000000000003"/>
    <n v="1.46"/>
    <n v="5.8860000000000001"/>
  </r>
  <r>
    <s v="ORD01123"/>
    <d v="2025-07-12T00:00:00"/>
    <s v="CUST0263"/>
    <s v="Corporate"/>
    <s v="Desk Lamp"/>
    <s v="Furniture"/>
    <s v="South"/>
    <n v="2"/>
    <n v="43.03"/>
    <n v="0"/>
    <n v="86.06"/>
    <n v="18.12"/>
    <n v="0"/>
  </r>
  <r>
    <s v="ORD00586"/>
    <d v="2025-07-13T00:00:00"/>
    <s v="CUST0135"/>
    <s v="Consumer"/>
    <s v="Water Bottle"/>
    <s v="Lifestyle"/>
    <s v="North"/>
    <n v="1"/>
    <n v="20.27"/>
    <n v="0"/>
    <n v="20.27"/>
    <n v="4.95"/>
    <n v="0"/>
  </r>
  <r>
    <s v="ORD01047"/>
    <d v="2025-07-13T00:00:00"/>
    <s v="CUST0176"/>
    <s v="Small Business"/>
    <s v="Office Chair"/>
    <s v="Furniture"/>
    <s v="South"/>
    <n v="5"/>
    <n v="181.15"/>
    <n v="0"/>
    <n v="905.75"/>
    <n v="165.08"/>
    <n v="0"/>
  </r>
  <r>
    <s v="ORD01160"/>
    <d v="2025-07-13T00:00:00"/>
    <s v="CUST0036"/>
    <s v="Small Business"/>
    <s v="Water Bottle"/>
    <s v="Lifestyle"/>
    <s v="North"/>
    <n v="3"/>
    <n v="21.9"/>
    <n v="0.2"/>
    <n v="52.57"/>
    <n v="9.69"/>
    <n v="13.139999999999999"/>
  </r>
  <r>
    <s v="ORD00259"/>
    <d v="2025-07-14T00:00:00"/>
    <s v="CUST0167"/>
    <s v="Corporate"/>
    <s v="Backpack"/>
    <s v="Lifestyle"/>
    <s v="East"/>
    <n v="1"/>
    <n v="49.64"/>
    <n v="0.15"/>
    <n v="42.19"/>
    <n v="5.52"/>
    <n v="7.4459999999999997"/>
  </r>
  <r>
    <s v="ORD00646"/>
    <d v="2025-07-14T00:00:00"/>
    <s v="CUST0249"/>
    <s v="Corporate"/>
    <s v="File Organizer"/>
    <s v="Office Supplies"/>
    <s v="West"/>
    <n v="1"/>
    <n v="17.309999999999999"/>
    <n v="0.1"/>
    <n v="15.58"/>
    <n v="1.98"/>
    <n v="1.7309999999999999"/>
  </r>
  <r>
    <s v="ORD00712"/>
    <d v="2025-07-14T00:00:00"/>
    <s v="CUST0153"/>
    <s v="Consumer"/>
    <s v="Wireless Mouse"/>
    <s v="Technology"/>
    <s v="North"/>
    <n v="2"/>
    <n v="26.79"/>
    <n v="0"/>
    <n v="53.57"/>
    <n v="13.73"/>
    <n v="0"/>
  </r>
  <r>
    <s v="ORD00677"/>
    <d v="2025-07-16T00:00:00"/>
    <s v="CUST0189"/>
    <s v="Consumer"/>
    <s v="Mechanical Keyboard"/>
    <s v="Technology"/>
    <s v="South"/>
    <n v="5"/>
    <n v="72.81"/>
    <n v="0"/>
    <n v="364.06"/>
    <n v="59.67"/>
    <n v="0"/>
  </r>
  <r>
    <s v="ORD00480"/>
    <d v="2025-07-16T00:00:00"/>
    <s v="CUST0114"/>
    <s v="Corporate"/>
    <s v="Printer Paper"/>
    <s v="Office Supplies"/>
    <s v="North"/>
    <n v="1"/>
    <n v="8.3000000000000007"/>
    <n v="0.05"/>
    <n v="7.89"/>
    <n v="1.05"/>
    <n v="0.41500000000000004"/>
  </r>
  <r>
    <s v="ORD00059"/>
    <d v="2025-07-16T00:00:00"/>
    <s v="CUST0001"/>
    <s v="Corporate"/>
    <s v="Office Chair"/>
    <s v="Furniture"/>
    <s v="West"/>
    <n v="3"/>
    <n v="192.59"/>
    <n v="0.15"/>
    <n v="491.1"/>
    <n v="47.55"/>
    <n v="86.665499999999994"/>
  </r>
  <r>
    <s v="ORD00740"/>
    <d v="2025-07-17T00:00:00"/>
    <s v="CUST0215"/>
    <s v="Small Business"/>
    <s v="Laptop Pro 14"/>
    <s v="Technology"/>
    <s v="East"/>
    <n v="2"/>
    <n v="956.74"/>
    <n v="0"/>
    <n v="1913.48"/>
    <n v="511.19"/>
    <n v="0"/>
  </r>
  <r>
    <s v="ORD01104"/>
    <d v="2025-07-17T00:00:00"/>
    <s v="CUST0273"/>
    <s v="Corporate"/>
    <s v="Mechanical Keyboard"/>
    <s v="Technology"/>
    <s v="North"/>
    <n v="2"/>
    <n v="78.41"/>
    <n v="0.1"/>
    <n v="141.15"/>
    <n v="27.36"/>
    <n v="15.682"/>
  </r>
  <r>
    <s v="ORD00578"/>
    <d v="2025-07-17T00:00:00"/>
    <s v="CUST0042"/>
    <s v="Consumer"/>
    <s v="Mechanical Keyboard"/>
    <s v="Technology"/>
    <s v="South"/>
    <n v="3"/>
    <n v="81.56"/>
    <n v="0.1"/>
    <n v="220.22"/>
    <n v="42.37"/>
    <n v="24.468000000000004"/>
  </r>
  <r>
    <s v="ORD01184"/>
    <d v="2025-07-18T00:00:00"/>
    <s v="CUST0177"/>
    <s v="Consumer"/>
    <s v="Backpack"/>
    <s v="Lifestyle"/>
    <s v="East"/>
    <n v="3"/>
    <n v="53.07"/>
    <n v="0.05"/>
    <n v="151.26"/>
    <n v="10.88"/>
    <n v="7.9605000000000006"/>
  </r>
  <r>
    <s v="ORD00745"/>
    <d v="2025-07-18T00:00:00"/>
    <s v="CUST0194"/>
    <s v="Small Business"/>
    <s v="File Organizer"/>
    <s v="Office Supplies"/>
    <s v="North"/>
    <n v="3"/>
    <n v="16.920000000000002"/>
    <n v="0"/>
    <n v="50.77"/>
    <n v="11.32"/>
    <n v="0"/>
  </r>
  <r>
    <s v="ORD01030"/>
    <d v="2025-07-18T00:00:00"/>
    <s v="CUST0295"/>
    <s v="Consumer"/>
    <s v="24-inch Monitor"/>
    <s v="Technology"/>
    <s v="North"/>
    <n v="2"/>
    <n v="203.64"/>
    <n v="0"/>
    <n v="407.27"/>
    <n v="47.18"/>
    <n v="0"/>
  </r>
  <r>
    <s v="ORD01019"/>
    <d v="2025-07-19T00:00:00"/>
    <s v="CUST0249"/>
    <s v="Consumer"/>
    <s v="Mechanical Keyboard"/>
    <s v="Technology"/>
    <s v="East"/>
    <n v="1"/>
    <n v="78.3"/>
    <n v="0.05"/>
    <n v="74.38"/>
    <n v="6.44"/>
    <n v="3.915"/>
  </r>
  <r>
    <s v="ORD00948"/>
    <d v="2025-07-19T00:00:00"/>
    <s v="CUST0213"/>
    <s v="Consumer"/>
    <s v="File Organizer"/>
    <s v="Office Supplies"/>
    <s v="South"/>
    <n v="2"/>
    <n v="17.61"/>
    <n v="0.2"/>
    <n v="28.17"/>
    <n v="1.78"/>
    <n v="7.0440000000000005"/>
  </r>
  <r>
    <s v="ORD00585"/>
    <d v="2025-07-20T00:00:00"/>
    <s v="CUST0204"/>
    <s v="Small Business"/>
    <s v="Notebook Set"/>
    <s v="Office Supplies"/>
    <s v="West"/>
    <n v="1"/>
    <n v="15.11"/>
    <n v="0"/>
    <n v="15.11"/>
    <n v="4.13"/>
    <n v="0"/>
  </r>
  <r>
    <s v="ORD00056"/>
    <d v="2025-07-20T00:00:00"/>
    <s v="CUST0197"/>
    <s v="Corporate"/>
    <s v="Laptop Pro 14"/>
    <s v="Technology"/>
    <s v="South"/>
    <n v="1"/>
    <n v="869.48"/>
    <n v="0"/>
    <n v="869.48"/>
    <n v="233.11"/>
    <n v="0"/>
  </r>
  <r>
    <s v="ORD00108"/>
    <d v="2025-07-20T00:00:00"/>
    <s v="CUST0172"/>
    <s v="Corporate"/>
    <s v="Notebook Set"/>
    <s v="Office Supplies"/>
    <s v="East"/>
    <n v="3"/>
    <n v="13.29"/>
    <n v="0.05"/>
    <n v="37.880000000000003"/>
    <n v="8.7200000000000006"/>
    <n v="1.9935"/>
  </r>
  <r>
    <s v="ORD00790"/>
    <d v="2025-07-21T00:00:00"/>
    <s v="CUST0297"/>
    <s v="Consumer"/>
    <s v="Wireless Mouse"/>
    <s v="Technology"/>
    <s v="East"/>
    <n v="3"/>
    <n v="28.89"/>
    <n v="0.2"/>
    <n v="69.34"/>
    <n v="3.95"/>
    <n v="17.334"/>
  </r>
  <r>
    <s v="ORD00345"/>
    <d v="2025-07-21T00:00:00"/>
    <s v="CUST0283"/>
    <s v="Small Business"/>
    <s v="Backpack"/>
    <s v="Lifestyle"/>
    <s v="East"/>
    <n v="3"/>
    <n v="50.71"/>
    <n v="0.1"/>
    <n v="136.93"/>
    <n v="16.18"/>
    <n v="15.213000000000001"/>
  </r>
  <r>
    <s v="ORD00797"/>
    <d v="2025-07-22T00:00:00"/>
    <s v="CUST0043"/>
    <s v="Corporate"/>
    <s v="24-inch Monitor"/>
    <s v="Technology"/>
    <s v="South"/>
    <n v="2"/>
    <n v="200.25"/>
    <n v="0.05"/>
    <n v="380.47"/>
    <n v="60.86"/>
    <n v="20.025000000000002"/>
  </r>
  <r>
    <s v="ORD00802"/>
    <d v="2025-07-22T00:00:00"/>
    <s v="CUST0206"/>
    <s v="Consumer"/>
    <s v="Laptop Pro 14"/>
    <s v="Technology"/>
    <s v="West"/>
    <n v="1"/>
    <n v="870.22"/>
    <n v="0.1"/>
    <n v="783.2"/>
    <n v="72.680000000000007"/>
    <n v="87.022000000000006"/>
  </r>
  <r>
    <s v="ORD00358"/>
    <d v="2025-07-23T00:00:00"/>
    <s v="CUST0020"/>
    <s v="Small Business"/>
    <s v="Printer Paper"/>
    <s v="Office Supplies"/>
    <s v="East"/>
    <n v="2"/>
    <n v="8.91"/>
    <n v="0.2"/>
    <n v="14.26"/>
    <n v="1.75"/>
    <n v="3.5640000000000001"/>
  </r>
  <r>
    <s v="ORD00824"/>
    <d v="2025-07-23T00:00:00"/>
    <s v="CUST0025"/>
    <s v="Consumer"/>
    <s v="Standing Desk"/>
    <s v="Furniture"/>
    <s v="West"/>
    <n v="4"/>
    <n v="355.54"/>
    <n v="0.2"/>
    <n v="1137.72"/>
    <n v="228.52"/>
    <n v="284.43200000000002"/>
  </r>
  <r>
    <s v="ORD00633"/>
    <d v="2025-07-23T00:00:00"/>
    <s v="CUST0181"/>
    <s v="Consumer"/>
    <s v="Laptop Pro 14"/>
    <s v="Technology"/>
    <s v="East"/>
    <n v="4"/>
    <n v="974.09"/>
    <n v="0"/>
    <n v="3896.35"/>
    <n v="334.15"/>
    <n v="0"/>
  </r>
  <r>
    <s v="ORD01034"/>
    <d v="2025-07-23T00:00:00"/>
    <s v="CUST0289"/>
    <s v="Small Business"/>
    <s v="Backpack"/>
    <s v="Lifestyle"/>
    <s v="North"/>
    <n v="5"/>
    <n v="59.77"/>
    <n v="0"/>
    <n v="298.83999999999997"/>
    <n v="45.61"/>
    <n v="0"/>
  </r>
  <r>
    <s v="ORD00795"/>
    <d v="2025-07-23T00:00:00"/>
    <s v="CUST0012"/>
    <s v="Consumer"/>
    <s v="Laptop Pro 14"/>
    <s v="Technology"/>
    <s v="East"/>
    <n v="1"/>
    <n v="996.14"/>
    <n v="0.1"/>
    <n v="896.52"/>
    <n v="173.72"/>
    <n v="99.614000000000004"/>
  </r>
  <r>
    <s v="ORD01138"/>
    <d v="2025-07-23T00:00:00"/>
    <s v="CUST0256"/>
    <s v="Consumer"/>
    <s v="File Organizer"/>
    <s v="Office Supplies"/>
    <s v="South"/>
    <n v="1"/>
    <n v="18.36"/>
    <n v="0.1"/>
    <n v="16.52"/>
    <n v="3.35"/>
    <n v="1.8360000000000001"/>
  </r>
  <r>
    <s v="ORD00861"/>
    <d v="2025-07-24T00:00:00"/>
    <s v="CUST0173"/>
    <s v="Consumer"/>
    <s v="Standing Desk"/>
    <s v="Furniture"/>
    <s v="West"/>
    <n v="2"/>
    <n v="310.83"/>
    <n v="0.1"/>
    <n v="559.49"/>
    <n v="45.01"/>
    <n v="62.165999999999997"/>
  </r>
  <r>
    <s v="ORD00752"/>
    <d v="2025-07-24T00:00:00"/>
    <s v="CUST0088"/>
    <s v="Consumer"/>
    <s v="Printer Paper"/>
    <s v="Office Supplies"/>
    <s v="South"/>
    <n v="3"/>
    <n v="9.2799999999999994"/>
    <n v="0.15"/>
    <n v="23.66"/>
    <n v="3.7"/>
    <n v="4.1759999999999993"/>
  </r>
  <r>
    <s v="ORD00571"/>
    <d v="2025-07-25T00:00:00"/>
    <s v="CUST0055"/>
    <s v="Small Business"/>
    <s v="24-inch Monitor"/>
    <s v="Technology"/>
    <s v="South"/>
    <n v="2"/>
    <n v="195.98"/>
    <n v="0"/>
    <n v="391.96"/>
    <n v="57.44"/>
    <n v="0"/>
  </r>
  <r>
    <s v="ORD00978"/>
    <d v="2025-07-25T00:00:00"/>
    <s v="CUST0138"/>
    <s v="Consumer"/>
    <s v="Laptop Pro 14"/>
    <s v="Technology"/>
    <s v="North"/>
    <n v="1"/>
    <n v="874.72"/>
    <n v="0"/>
    <n v="874.72"/>
    <n v="212.19"/>
    <n v="0"/>
  </r>
  <r>
    <s v="ORD00769"/>
    <d v="2025-07-26T00:00:00"/>
    <s v="CUST0073"/>
    <s v="Consumer"/>
    <s v="Backpack"/>
    <s v="Lifestyle"/>
    <s v="South"/>
    <n v="2"/>
    <n v="52.61"/>
    <n v="0.05"/>
    <n v="99.96"/>
    <n v="7.26"/>
    <n v="5.2610000000000001"/>
  </r>
  <r>
    <s v="ORD00617"/>
    <d v="2025-07-26T00:00:00"/>
    <s v="CUST0103"/>
    <s v="Small Business"/>
    <s v="Printer Paper"/>
    <s v="Office Supplies"/>
    <s v="South"/>
    <n v="2"/>
    <n v="9.77"/>
    <n v="0.15"/>
    <n v="16.61"/>
    <n v="1.5"/>
    <n v="2.9309999999999996"/>
  </r>
  <r>
    <s v="ORD00457"/>
    <d v="2025-07-26T00:00:00"/>
    <s v="CUST0230"/>
    <s v="Corporate"/>
    <s v="Desk Lamp"/>
    <s v="Furniture"/>
    <s v="North"/>
    <n v="3"/>
    <n v="41.98"/>
    <n v="0"/>
    <n v="125.95"/>
    <n v="27.44"/>
    <n v="0"/>
  </r>
  <r>
    <s v="ORD00763"/>
    <d v="2025-07-26T00:00:00"/>
    <s v="CUST0140"/>
    <s v="Corporate"/>
    <s v="Water Bottle"/>
    <s v="Lifestyle"/>
    <s v="East"/>
    <n v="1"/>
    <n v="23.36"/>
    <n v="0"/>
    <n v="23.36"/>
    <n v="3.08"/>
    <n v="0"/>
  </r>
  <r>
    <s v="ORD00785"/>
    <d v="2025-07-27T00:00:00"/>
    <s v="CUST0217"/>
    <s v="Consumer"/>
    <s v="Laptop Pro 14"/>
    <s v="Technology"/>
    <s v="South"/>
    <n v="2"/>
    <n v="944.95"/>
    <n v="0"/>
    <n v="1889.91"/>
    <n v="382.96"/>
    <n v="0"/>
  </r>
  <r>
    <s v="ORD00372"/>
    <d v="2025-07-27T00:00:00"/>
    <s v="CUST0153"/>
    <s v="Corporate"/>
    <s v="Office Chair"/>
    <s v="Furniture"/>
    <s v="West"/>
    <n v="2"/>
    <n v="189.24"/>
    <n v="0.2"/>
    <n v="302.79000000000002"/>
    <n v="35.5"/>
    <n v="75.696000000000012"/>
  </r>
  <r>
    <s v="ORD01095"/>
    <d v="2025-07-27T00:00:00"/>
    <s v="CUST0049"/>
    <s v="Consumer"/>
    <s v="Notebook Set"/>
    <s v="Office Supplies"/>
    <s v="South"/>
    <n v="2"/>
    <n v="15.3"/>
    <n v="0.2"/>
    <n v="24.49"/>
    <n v="3.07"/>
    <n v="6.120000000000001"/>
  </r>
  <r>
    <s v="ORD00878"/>
    <d v="2025-07-27T00:00:00"/>
    <s v="CUST0235"/>
    <s v="Small Business"/>
    <s v="24-inch Monitor"/>
    <s v="Technology"/>
    <s v="East"/>
    <n v="2"/>
    <n v="192.49"/>
    <n v="0.15"/>
    <n v="327.23"/>
    <n v="28.07"/>
    <n v="57.747"/>
  </r>
  <r>
    <s v="ORD00839"/>
    <d v="2025-07-28T00:00:00"/>
    <s v="CUST0245"/>
    <s v="Small Business"/>
    <s v="Desk Lamp"/>
    <s v="Furniture"/>
    <s v="South"/>
    <n v="1"/>
    <n v="41.04"/>
    <n v="0.2"/>
    <n v="32.83"/>
    <n v="3.02"/>
    <n v="8.2080000000000002"/>
  </r>
  <r>
    <s v="ORD00440"/>
    <d v="2025-07-28T00:00:00"/>
    <s v="CUST0019"/>
    <s v="Consumer"/>
    <s v="Laptop Pro 14"/>
    <s v="Technology"/>
    <s v="South"/>
    <n v="2"/>
    <n v="1005.38"/>
    <n v="0.1"/>
    <n v="1809.68"/>
    <n v="321.8"/>
    <n v="201.07600000000002"/>
  </r>
  <r>
    <s v="ORD01036"/>
    <d v="2025-07-29T00:00:00"/>
    <s v="CUST0146"/>
    <s v="Consumer"/>
    <s v="Backpack"/>
    <s v="Lifestyle"/>
    <s v="North"/>
    <n v="1"/>
    <n v="60"/>
    <n v="0.05"/>
    <n v="57"/>
    <n v="5.05"/>
    <n v="3"/>
  </r>
  <r>
    <s v="ORD00389"/>
    <d v="2025-07-30T00:00:00"/>
    <s v="CUST0229"/>
    <s v="Small Business"/>
    <s v="Backpack"/>
    <s v="Lifestyle"/>
    <s v="South"/>
    <n v="2"/>
    <n v="54.49"/>
    <n v="0"/>
    <n v="108.99"/>
    <n v="25.34"/>
    <n v="0"/>
  </r>
  <r>
    <s v="ORD00730"/>
    <d v="2025-07-30T00:00:00"/>
    <s v="CUST0020"/>
    <s v="Corporate"/>
    <s v="Standing Desk"/>
    <s v="Furniture"/>
    <s v="South"/>
    <n v="1"/>
    <n v="302.92"/>
    <n v="0"/>
    <n v="302.92"/>
    <n v="82.49"/>
    <n v="0"/>
  </r>
  <r>
    <s v="ORD00753"/>
    <d v="2025-07-30T00:00:00"/>
    <s v="CUST0084"/>
    <s v="Consumer"/>
    <s v="Laptop Pro 14"/>
    <s v="Technology"/>
    <s v="South"/>
    <n v="3"/>
    <n v="913.91"/>
    <n v="0.05"/>
    <n v="2604.63"/>
    <n v="594.87"/>
    <n v="137.0865"/>
  </r>
  <r>
    <s v="ORD00868"/>
    <d v="2025-07-31T00:00:00"/>
    <s v="CUST0002"/>
    <s v="Corporate"/>
    <s v="Printer Paper"/>
    <s v="Office Supplies"/>
    <s v="East"/>
    <n v="1"/>
    <n v="9.1199999999999992"/>
    <n v="0.15"/>
    <n v="7.75"/>
    <n v="0.88"/>
    <n v="1.3679999999999999"/>
  </r>
  <r>
    <s v="ORD00451"/>
    <d v="2025-07-31T00:00:00"/>
    <s v="CUST0072"/>
    <s v="Corporate"/>
    <s v="Mechanical Keyboard"/>
    <s v="Technology"/>
    <s v="West"/>
    <n v="3"/>
    <n v="77.489999999999995"/>
    <n v="0.05"/>
    <n v="220.86"/>
    <n v="59.32"/>
    <n v="11.6235"/>
  </r>
  <r>
    <s v="ORD00400"/>
    <d v="2025-08-01T00:00:00"/>
    <s v="CUST0227"/>
    <s v="Small Business"/>
    <s v="Office Chair"/>
    <s v="Furniture"/>
    <s v="West"/>
    <n v="1"/>
    <n v="188.98"/>
    <n v="0"/>
    <n v="188.98"/>
    <n v="31.41"/>
    <n v="0"/>
  </r>
  <r>
    <s v="ORD00162"/>
    <d v="2025-08-01T00:00:00"/>
    <s v="CUST0102"/>
    <s v="Consumer"/>
    <s v="Laptop Pro 14"/>
    <s v="Technology"/>
    <s v="South"/>
    <n v="3"/>
    <n v="940.25"/>
    <n v="0.05"/>
    <n v="2679.72"/>
    <n v="314.08999999999997"/>
    <n v="141.03749999999999"/>
  </r>
  <r>
    <s v="ORD00410"/>
    <d v="2025-08-02T00:00:00"/>
    <s v="CUST0005"/>
    <s v="Small Business"/>
    <s v="Notebook Set"/>
    <s v="Office Supplies"/>
    <s v="East"/>
    <n v="2"/>
    <n v="12.63"/>
    <n v="0"/>
    <n v="25.26"/>
    <n v="6.2"/>
    <n v="0"/>
  </r>
  <r>
    <s v="ORD00296"/>
    <d v="2025-08-02T00:00:00"/>
    <s v="CUST0218"/>
    <s v="Consumer"/>
    <s v="Water Bottle"/>
    <s v="Lifestyle"/>
    <s v="South"/>
    <n v="1"/>
    <n v="21.93"/>
    <n v="0"/>
    <n v="21.93"/>
    <n v="5.03"/>
    <n v="0"/>
  </r>
  <r>
    <s v="ORD00283"/>
    <d v="2025-08-02T00:00:00"/>
    <s v="CUST0121"/>
    <s v="Corporate"/>
    <s v="Standing Desk"/>
    <s v="Furniture"/>
    <s v="West"/>
    <n v="2"/>
    <n v="359.07"/>
    <n v="0"/>
    <n v="718.14"/>
    <n v="69.33"/>
    <n v="0"/>
  </r>
  <r>
    <s v="ORD00569"/>
    <d v="2025-08-02T00:00:00"/>
    <s v="CUST0186"/>
    <s v="Small Business"/>
    <s v="Laptop Pro 14"/>
    <s v="Technology"/>
    <s v="North"/>
    <n v="2"/>
    <n v="959.45"/>
    <n v="0"/>
    <n v="1918.89"/>
    <n v="313.61"/>
    <n v="0"/>
  </r>
  <r>
    <s v="ORD00945"/>
    <d v="2025-08-02T00:00:00"/>
    <s v="CUST0250"/>
    <s v="Corporate"/>
    <s v="Backpack"/>
    <s v="Lifestyle"/>
    <s v="South"/>
    <n v="2"/>
    <n v="57.46"/>
    <n v="0"/>
    <n v="114.92"/>
    <n v="27.72"/>
    <n v="0"/>
  </r>
  <r>
    <s v="ORD00194"/>
    <d v="2025-08-02T00:00:00"/>
    <s v="CUST0008"/>
    <s v="Small Business"/>
    <s v="Notebook Set"/>
    <s v="Office Supplies"/>
    <s v="North"/>
    <n v="2"/>
    <n v="12.9"/>
    <n v="0.15"/>
    <n v="21.92"/>
    <n v="5.37"/>
    <n v="3.87"/>
  </r>
  <r>
    <s v="ORD00958"/>
    <d v="2025-08-02T00:00:00"/>
    <s v="CUST0184"/>
    <s v="Consumer"/>
    <s v="Standing Desk"/>
    <s v="Furniture"/>
    <s v="North"/>
    <n v="4"/>
    <n v="339.92"/>
    <n v="0"/>
    <n v="1359.68"/>
    <n v="198.24"/>
    <n v="0"/>
  </r>
  <r>
    <s v="ORD00280"/>
    <d v="2025-08-02T00:00:00"/>
    <s v="CUST0178"/>
    <s v="Small Business"/>
    <s v="Laptop Pro 14"/>
    <s v="Technology"/>
    <s v="East"/>
    <n v="2"/>
    <n v="960.38"/>
    <n v="0.15"/>
    <n v="1632.65"/>
    <n v="282.57"/>
    <n v="288.11399999999998"/>
  </r>
  <r>
    <s v="ORD00830"/>
    <d v="2025-08-03T00:00:00"/>
    <s v="CUST0059"/>
    <s v="Consumer"/>
    <s v="Standing Desk"/>
    <s v="Furniture"/>
    <s v="North"/>
    <n v="2"/>
    <n v="306.73"/>
    <n v="0"/>
    <n v="613.46"/>
    <n v="58.06"/>
    <n v="0"/>
  </r>
  <r>
    <s v="ORD00473"/>
    <d v="2025-08-03T00:00:00"/>
    <s v="CUST0266"/>
    <s v="Corporate"/>
    <s v="Office Chair"/>
    <s v="Furniture"/>
    <s v="West"/>
    <n v="1"/>
    <n v="164.88"/>
    <n v="0.1"/>
    <n v="148.4"/>
    <n v="22.4"/>
    <n v="16.488"/>
  </r>
  <r>
    <s v="ORD00380"/>
    <d v="2025-08-03T00:00:00"/>
    <s v="CUST0207"/>
    <s v="Consumer"/>
    <s v="Notebook Set"/>
    <s v="Office Supplies"/>
    <s v="West"/>
    <n v="1"/>
    <n v="14.54"/>
    <n v="0"/>
    <n v="14.54"/>
    <n v="2.92"/>
    <n v="0"/>
  </r>
  <r>
    <s v="ORD00176"/>
    <d v="2025-08-03T00:00:00"/>
    <s v="CUST0287"/>
    <s v="Corporate"/>
    <s v="Backpack"/>
    <s v="Lifestyle"/>
    <s v="East"/>
    <n v="3"/>
    <n v="50.16"/>
    <n v="0.05"/>
    <n v="142.96"/>
    <n v="25.42"/>
    <n v="7.524"/>
  </r>
  <r>
    <s v="ORD00245"/>
    <d v="2025-08-04T00:00:00"/>
    <s v="CUST0093"/>
    <s v="Corporate"/>
    <s v="Laptop Pro 14"/>
    <s v="Technology"/>
    <s v="North"/>
    <n v="1"/>
    <n v="943.24"/>
    <n v="0.15"/>
    <n v="801.76"/>
    <n v="62.01"/>
    <n v="141.48599999999999"/>
  </r>
  <r>
    <s v="ORD00499"/>
    <d v="2025-08-04T00:00:00"/>
    <s v="CUST0144"/>
    <s v="Corporate"/>
    <s v="Printer Paper"/>
    <s v="Office Supplies"/>
    <s v="South"/>
    <n v="4"/>
    <n v="8.43"/>
    <n v="0.15"/>
    <n v="28.66"/>
    <n v="6.89"/>
    <n v="5.0579999999999998"/>
  </r>
  <r>
    <s v="ORD00233"/>
    <d v="2025-08-04T00:00:00"/>
    <s v="CUST0163"/>
    <s v="Small Business"/>
    <s v="Wireless Mouse"/>
    <s v="Technology"/>
    <s v="West"/>
    <n v="2"/>
    <n v="25.83"/>
    <n v="0"/>
    <n v="51.66"/>
    <n v="5.03"/>
    <n v="0"/>
  </r>
  <r>
    <s v="ORD00719"/>
    <d v="2025-08-04T00:00:00"/>
    <s v="CUST0170"/>
    <s v="Corporate"/>
    <s v="Standing Desk"/>
    <s v="Furniture"/>
    <s v="South"/>
    <n v="2"/>
    <n v="308.33"/>
    <n v="0.1"/>
    <n v="555"/>
    <n v="119.98"/>
    <n v="61.665999999999997"/>
  </r>
  <r>
    <s v="ORD00158"/>
    <d v="2025-08-06T00:00:00"/>
    <s v="CUST0289"/>
    <s v="Corporate"/>
    <s v="Water Bottle"/>
    <s v="Lifestyle"/>
    <s v="East"/>
    <n v="2"/>
    <n v="22.31"/>
    <n v="0.15"/>
    <n v="37.93"/>
    <n v="1.62"/>
    <n v="6.6929999999999996"/>
  </r>
  <r>
    <s v="ORD00905"/>
    <d v="2025-08-06T00:00:00"/>
    <s v="CUST0072"/>
    <s v="Consumer"/>
    <s v="Water Bottle"/>
    <s v="Lifestyle"/>
    <s v="North"/>
    <n v="1"/>
    <n v="23.67"/>
    <n v="0"/>
    <n v="23.67"/>
    <n v="2.11"/>
    <n v="0"/>
  </r>
  <r>
    <s v="ORD01079"/>
    <d v="2025-08-06T00:00:00"/>
    <s v="CUST0053"/>
    <s v="Small Business"/>
    <s v="Printer Paper"/>
    <s v="Office Supplies"/>
    <s v="East"/>
    <n v="3"/>
    <n v="8.1999999999999993"/>
    <n v="0.15"/>
    <n v="20.9"/>
    <n v="0.94"/>
    <n v="3.6899999999999995"/>
  </r>
  <r>
    <s v="ORD00331"/>
    <d v="2025-08-07T00:00:00"/>
    <s v="CUST0022"/>
    <s v="Consumer"/>
    <s v="Laptop Pro 14"/>
    <s v="Technology"/>
    <s v="South"/>
    <n v="1"/>
    <n v="906.02"/>
    <n v="0.05"/>
    <n v="860.72"/>
    <n v="107.65"/>
    <n v="45.301000000000002"/>
  </r>
  <r>
    <s v="ORD01145"/>
    <d v="2025-08-07T00:00:00"/>
    <s v="CUST0227"/>
    <s v="Corporate"/>
    <s v="Water Bottle"/>
    <s v="Lifestyle"/>
    <s v="East"/>
    <n v="1"/>
    <n v="21.16"/>
    <n v="0.15"/>
    <n v="17.989999999999998"/>
    <n v="4.4800000000000004"/>
    <n v="3.1739999999999999"/>
  </r>
  <r>
    <s v="ORD00521"/>
    <d v="2025-08-07T00:00:00"/>
    <s v="CUST0171"/>
    <s v="Consumer"/>
    <s v="Office Chair"/>
    <s v="Furniture"/>
    <s v="West"/>
    <n v="4"/>
    <n v="180.42"/>
    <n v="0"/>
    <n v="721.7"/>
    <n v="168.8"/>
    <n v="0"/>
  </r>
  <r>
    <s v="ORD00271"/>
    <d v="2025-08-07T00:00:00"/>
    <s v="CUST0225"/>
    <s v="Corporate"/>
    <s v="Wireless Mouse"/>
    <s v="Technology"/>
    <s v="South"/>
    <n v="2"/>
    <n v="27.87"/>
    <n v="0.1"/>
    <n v="50.16"/>
    <n v="13.21"/>
    <n v="5.5740000000000007"/>
  </r>
  <r>
    <s v="ORD00479"/>
    <d v="2025-08-08T00:00:00"/>
    <s v="CUST0269"/>
    <s v="Small Business"/>
    <s v="Laptop Pro 14"/>
    <s v="Technology"/>
    <s v="North"/>
    <n v="1"/>
    <n v="959.47"/>
    <n v="0.2"/>
    <n v="767.58"/>
    <n v="183.6"/>
    <n v="191.89400000000001"/>
  </r>
  <r>
    <s v="ORD00147"/>
    <d v="2025-08-08T00:00:00"/>
    <s v="CUST0228"/>
    <s v="Corporate"/>
    <s v="Backpack"/>
    <s v="Lifestyle"/>
    <s v="West"/>
    <n v="2"/>
    <n v="55.97"/>
    <n v="0.05"/>
    <n v="106.34"/>
    <n v="8.02"/>
    <n v="5.5970000000000004"/>
  </r>
  <r>
    <s v="ORD00458"/>
    <d v="2025-08-08T00:00:00"/>
    <s v="CUST0154"/>
    <s v="Corporate"/>
    <s v="Laptop Pro 14"/>
    <s v="Technology"/>
    <s v="West"/>
    <n v="1"/>
    <n v="869.18"/>
    <n v="0.15"/>
    <n v="738.8"/>
    <n v="160.04"/>
    <n v="130.37699999999998"/>
  </r>
  <r>
    <s v="ORD00229"/>
    <d v="2025-08-08T00:00:00"/>
    <s v="CUST0275"/>
    <s v="Consumer"/>
    <s v="Laptop Pro 14"/>
    <s v="Technology"/>
    <s v="North"/>
    <n v="3"/>
    <n v="914.5"/>
    <n v="0.15"/>
    <n v="2331.98"/>
    <n v="455.77"/>
    <n v="411.52499999999998"/>
  </r>
  <r>
    <s v="ORD00707"/>
    <d v="2025-08-08T00:00:00"/>
    <s v="CUST0128"/>
    <s v="Consumer"/>
    <s v="Printer Paper"/>
    <s v="Office Supplies"/>
    <s v="South"/>
    <n v="4"/>
    <n v="9.67"/>
    <n v="0"/>
    <n v="38.69"/>
    <n v="3.33"/>
    <n v="0"/>
  </r>
  <r>
    <s v="ORD00962"/>
    <d v="2025-08-08T00:00:00"/>
    <s v="CUST0003"/>
    <s v="Consumer"/>
    <s v="Printer Paper"/>
    <s v="Office Supplies"/>
    <s v="South"/>
    <n v="3"/>
    <n v="9.58"/>
    <n v="0.1"/>
    <n v="25.88"/>
    <n v="5.0999999999999996"/>
    <n v="2.8740000000000006"/>
  </r>
  <r>
    <s v="ORD00359"/>
    <d v="2025-08-09T00:00:00"/>
    <s v="CUST0060"/>
    <s v="Consumer"/>
    <s v="Water Bottle"/>
    <s v="Lifestyle"/>
    <s v="North"/>
    <n v="1"/>
    <n v="22.48"/>
    <n v="0.1"/>
    <n v="20.23"/>
    <n v="4.0599999999999996"/>
    <n v="2.2480000000000002"/>
  </r>
  <r>
    <s v="ORD00164"/>
    <d v="2025-08-09T00:00:00"/>
    <s v="CUST0021"/>
    <s v="Consumer"/>
    <s v="File Organizer"/>
    <s v="Office Supplies"/>
    <s v="North"/>
    <n v="2"/>
    <n v="17.920000000000002"/>
    <n v="0"/>
    <n v="35.83"/>
    <n v="5.69"/>
    <n v="0"/>
  </r>
  <r>
    <s v="ORD00866"/>
    <d v="2025-08-09T00:00:00"/>
    <s v="CUST0285"/>
    <s v="Consumer"/>
    <s v="Mechanical Keyboard"/>
    <s v="Technology"/>
    <s v="East"/>
    <n v="2"/>
    <n v="79.260000000000005"/>
    <n v="0.1"/>
    <n v="142.66999999999999"/>
    <n v="20.51"/>
    <n v="15.852000000000002"/>
  </r>
  <r>
    <s v="ORD00923"/>
    <d v="2025-08-09T00:00:00"/>
    <s v="CUST0170"/>
    <s v="Consumer"/>
    <s v="Water Bottle"/>
    <s v="Lifestyle"/>
    <s v="East"/>
    <n v="2"/>
    <n v="21.07"/>
    <n v="0.15"/>
    <n v="35.81"/>
    <n v="2.86"/>
    <n v="6.3209999999999997"/>
  </r>
  <r>
    <s v="ORD00819"/>
    <d v="2025-08-09T00:00:00"/>
    <s v="CUST0264"/>
    <s v="Consumer"/>
    <s v="Standing Desk"/>
    <s v="Furniture"/>
    <s v="South"/>
    <n v="5"/>
    <n v="303.95"/>
    <n v="0.1"/>
    <n v="1367.76"/>
    <n v="235.29"/>
    <n v="151.97499999999999"/>
  </r>
  <r>
    <s v="ORD00681"/>
    <d v="2025-08-09T00:00:00"/>
    <s v="CUST0111"/>
    <s v="Small Business"/>
    <s v="Water Bottle"/>
    <s v="Lifestyle"/>
    <s v="South"/>
    <n v="1"/>
    <n v="22.4"/>
    <n v="0.05"/>
    <n v="21.28"/>
    <n v="4.28"/>
    <n v="1.1199999999999999"/>
  </r>
  <r>
    <s v="ORD00974"/>
    <d v="2025-08-09T00:00:00"/>
    <s v="CUST0173"/>
    <s v="Consumer"/>
    <s v="Laptop Pro 14"/>
    <s v="Technology"/>
    <s v="South"/>
    <n v="1"/>
    <n v="977.63"/>
    <n v="0.1"/>
    <n v="879.86"/>
    <n v="173.23"/>
    <n v="97.763000000000005"/>
  </r>
  <r>
    <s v="ORD00137"/>
    <d v="2025-08-10T00:00:00"/>
    <s v="CUST0117"/>
    <s v="Corporate"/>
    <s v="Desk Lamp"/>
    <s v="Furniture"/>
    <s v="North"/>
    <n v="2"/>
    <n v="41.93"/>
    <n v="0"/>
    <n v="83.86"/>
    <n v="7.79"/>
    <n v="0"/>
  </r>
  <r>
    <s v="ORD00910"/>
    <d v="2025-08-10T00:00:00"/>
    <s v="CUST0083"/>
    <s v="Corporate"/>
    <s v="Backpack"/>
    <s v="Lifestyle"/>
    <s v="East"/>
    <n v="1"/>
    <n v="60.02"/>
    <n v="0.05"/>
    <n v="57.02"/>
    <n v="12.46"/>
    <n v="3.0010000000000003"/>
  </r>
  <r>
    <s v="ORD01064"/>
    <d v="2025-08-10T00:00:00"/>
    <s v="CUST0043"/>
    <s v="Corporate"/>
    <s v="Notebook Set"/>
    <s v="Office Supplies"/>
    <s v="North"/>
    <n v="2"/>
    <n v="14.67"/>
    <n v="0.1"/>
    <n v="26.4"/>
    <n v="4.63"/>
    <n v="2.9340000000000002"/>
  </r>
  <r>
    <s v="ORD00294"/>
    <d v="2025-08-10T00:00:00"/>
    <s v="CUST0126"/>
    <s v="Consumer"/>
    <s v="Printer Paper"/>
    <s v="Office Supplies"/>
    <s v="North"/>
    <n v="1"/>
    <n v="9.49"/>
    <n v="0"/>
    <n v="9.49"/>
    <n v="1.74"/>
    <n v="0"/>
  </r>
  <r>
    <s v="ORD00366"/>
    <d v="2025-08-10T00:00:00"/>
    <s v="CUST0207"/>
    <s v="Small Business"/>
    <s v="Laptop Pro 14"/>
    <s v="Technology"/>
    <s v="South"/>
    <n v="2"/>
    <n v="979.39"/>
    <n v="0"/>
    <n v="1958.79"/>
    <n v="479.42"/>
    <n v="0"/>
  </r>
  <r>
    <s v="ORD00973"/>
    <d v="2025-08-11T00:00:00"/>
    <s v="CUST0068"/>
    <s v="Consumer"/>
    <s v="Water Bottle"/>
    <s v="Lifestyle"/>
    <s v="South"/>
    <n v="2"/>
    <n v="22.4"/>
    <n v="0.1"/>
    <n v="40.33"/>
    <n v="8.2100000000000009"/>
    <n v="4.4799999999999995"/>
  </r>
  <r>
    <s v="ORD00853"/>
    <d v="2025-08-11T00:00:00"/>
    <s v="CUST0135"/>
    <s v="Corporate"/>
    <s v="File Organizer"/>
    <s v="Office Supplies"/>
    <s v="North"/>
    <n v="1"/>
    <n v="16.899999999999999"/>
    <n v="0.2"/>
    <n v="13.52"/>
    <n v="1.47"/>
    <n v="3.38"/>
  </r>
  <r>
    <s v="ORD00046"/>
    <d v="2025-08-11T00:00:00"/>
    <s v="CUST0151"/>
    <s v="Corporate"/>
    <s v="24-inch Monitor"/>
    <s v="Technology"/>
    <s v="East"/>
    <n v="2"/>
    <n v="202.8"/>
    <n v="0"/>
    <n v="405.61"/>
    <n v="87"/>
    <n v="0"/>
  </r>
  <r>
    <s v="ORD00820"/>
    <d v="2025-08-11T00:00:00"/>
    <s v="CUST0071"/>
    <s v="Consumer"/>
    <s v="Office Chair"/>
    <s v="Furniture"/>
    <s v="South"/>
    <n v="2"/>
    <n v="191.18"/>
    <n v="0.05"/>
    <n v="363.25"/>
    <n v="77.959999999999994"/>
    <n v="19.118000000000002"/>
  </r>
  <r>
    <s v="ORD00301"/>
    <d v="2025-08-12T00:00:00"/>
    <s v="CUST0222"/>
    <s v="Consumer"/>
    <s v="File Organizer"/>
    <s v="Office Supplies"/>
    <s v="East"/>
    <n v="1"/>
    <n v="17.850000000000001"/>
    <n v="0.1"/>
    <n v="16.07"/>
    <n v="2.7"/>
    <n v="1.7850000000000001"/>
  </r>
  <r>
    <s v="ORD00955"/>
    <d v="2025-08-12T00:00:00"/>
    <s v="CUST0262"/>
    <s v="Consumer"/>
    <s v="24-inch Monitor"/>
    <s v="Technology"/>
    <s v="South"/>
    <n v="2"/>
    <n v="195.63"/>
    <n v="0.05"/>
    <n v="371.69"/>
    <n v="82.39"/>
    <n v="19.563000000000002"/>
  </r>
  <r>
    <s v="ORD00914"/>
    <d v="2025-08-12T00:00:00"/>
    <s v="CUST0077"/>
    <s v="Corporate"/>
    <s v="Office Chair"/>
    <s v="Furniture"/>
    <s v="South"/>
    <n v="4"/>
    <n v="190.2"/>
    <n v="0.05"/>
    <n v="722.76"/>
    <n v="87.41"/>
    <n v="38.04"/>
  </r>
  <r>
    <s v="ORD00149"/>
    <d v="2025-08-13T00:00:00"/>
    <s v="CUST0041"/>
    <s v="Consumer"/>
    <s v="Mechanical Keyboard"/>
    <s v="Technology"/>
    <s v="West"/>
    <n v="2"/>
    <n v="73.09"/>
    <n v="0.1"/>
    <n v="131.57"/>
    <n v="21.23"/>
    <n v="14.618000000000002"/>
  </r>
  <r>
    <s v="ORD00600"/>
    <d v="2025-08-13T00:00:00"/>
    <s v="CUST0231"/>
    <s v="Corporate"/>
    <s v="Standing Desk"/>
    <s v="Furniture"/>
    <s v="East"/>
    <n v="2"/>
    <n v="314.63"/>
    <n v="0.1"/>
    <n v="566.34"/>
    <n v="136.26"/>
    <n v="62.926000000000002"/>
  </r>
  <r>
    <s v="ORD00426"/>
    <d v="2025-08-13T00:00:00"/>
    <s v="CUST0030"/>
    <s v="Small Business"/>
    <s v="Wireless Mouse"/>
    <s v="Technology"/>
    <s v="North"/>
    <n v="1"/>
    <n v="26.45"/>
    <n v="0.1"/>
    <n v="23.8"/>
    <n v="2.81"/>
    <n v="2.645"/>
  </r>
  <r>
    <s v="ORD00849"/>
    <d v="2025-08-14T00:00:00"/>
    <s v="CUST0160"/>
    <s v="Corporate"/>
    <s v="Desk Lamp"/>
    <s v="Furniture"/>
    <s v="East"/>
    <n v="4"/>
    <n v="39.35"/>
    <n v="0.15"/>
    <n v="133.78"/>
    <n v="18.2"/>
    <n v="23.61"/>
  </r>
  <r>
    <s v="ORD00597"/>
    <d v="2025-08-14T00:00:00"/>
    <s v="CUST0166"/>
    <s v="Corporate"/>
    <s v="Wireless Mouse"/>
    <s v="Technology"/>
    <s v="South"/>
    <n v="1"/>
    <n v="26.12"/>
    <n v="0.05"/>
    <n v="24.81"/>
    <n v="3.19"/>
    <n v="1.306"/>
  </r>
  <r>
    <s v="ORD00602"/>
    <d v="2025-08-14T00:00:00"/>
    <s v="CUST0260"/>
    <s v="Corporate"/>
    <s v="Office Chair"/>
    <s v="Furniture"/>
    <s v="West"/>
    <n v="1"/>
    <n v="171.9"/>
    <n v="0.1"/>
    <n v="154.71"/>
    <n v="29.04"/>
    <n v="17.190000000000001"/>
  </r>
  <r>
    <s v="ORD00986"/>
    <d v="2025-08-15T00:00:00"/>
    <s v="CUST0124"/>
    <s v="Corporate"/>
    <s v="Laptop Pro 14"/>
    <s v="Technology"/>
    <s v="South"/>
    <n v="2"/>
    <n v="1007.47"/>
    <n v="0.15"/>
    <n v="1712.69"/>
    <n v="98.05"/>
    <n v="302.24099999999999"/>
  </r>
  <r>
    <s v="ORD00192"/>
    <d v="2025-08-15T00:00:00"/>
    <s v="CUST0129"/>
    <s v="Small Business"/>
    <s v="Printer Paper"/>
    <s v="Office Supplies"/>
    <s v="East"/>
    <n v="2"/>
    <n v="8.34"/>
    <n v="0.2"/>
    <n v="13.34"/>
    <n v="0.68"/>
    <n v="3.3360000000000003"/>
  </r>
  <r>
    <s v="ORD00237"/>
    <d v="2025-08-15T00:00:00"/>
    <s v="CUST0210"/>
    <s v="Corporate"/>
    <s v="Printer Paper"/>
    <s v="Office Supplies"/>
    <s v="South"/>
    <n v="4"/>
    <n v="9.48"/>
    <n v="0.15"/>
    <n v="32.229999999999997"/>
    <n v="6.45"/>
    <n v="5.6879999999999997"/>
  </r>
  <r>
    <s v="ORD00577"/>
    <d v="2025-08-15T00:00:00"/>
    <s v="CUST0184"/>
    <s v="Corporate"/>
    <s v="Printer Paper"/>
    <s v="Office Supplies"/>
    <s v="South"/>
    <n v="1"/>
    <n v="8.23"/>
    <n v="0"/>
    <n v="8.23"/>
    <n v="0.85"/>
    <n v="0"/>
  </r>
  <r>
    <s v="ORD00232"/>
    <d v="2025-08-15T00:00:00"/>
    <s v="CUST0213"/>
    <s v="Small Business"/>
    <s v="Backpack"/>
    <s v="Lifestyle"/>
    <s v="West"/>
    <n v="2"/>
    <n v="52.96"/>
    <n v="0.1"/>
    <n v="95.32"/>
    <n v="14"/>
    <n v="10.592000000000001"/>
  </r>
  <r>
    <s v="ORD00998"/>
    <d v="2025-08-16T00:00:00"/>
    <s v="CUST0074"/>
    <s v="Corporate"/>
    <s v="24-inch Monitor"/>
    <s v="Technology"/>
    <s v="West"/>
    <n v="1"/>
    <n v="211.59"/>
    <n v="0.15"/>
    <n v="179.85"/>
    <n v="13.8"/>
    <n v="31.738499999999998"/>
  </r>
  <r>
    <s v="ORD01130"/>
    <d v="2025-08-16T00:00:00"/>
    <s v="CUST0202"/>
    <s v="Consumer"/>
    <s v="24-inch Monitor"/>
    <s v="Technology"/>
    <s v="East"/>
    <n v="1"/>
    <n v="211.52"/>
    <n v="0.1"/>
    <n v="190.37"/>
    <n v="21.46"/>
    <n v="21.152000000000001"/>
  </r>
  <r>
    <s v="ORD00403"/>
    <d v="2025-08-16T00:00:00"/>
    <s v="CUST0296"/>
    <s v="Small Business"/>
    <s v="Desk Lamp"/>
    <s v="Furniture"/>
    <s v="South"/>
    <n v="1"/>
    <n v="40.43"/>
    <n v="0"/>
    <n v="40.43"/>
    <n v="10.1"/>
    <n v="0"/>
  </r>
  <r>
    <s v="ORD00318"/>
    <d v="2025-08-16T00:00:00"/>
    <s v="CUST0032"/>
    <s v="Corporate"/>
    <s v="Desk Lamp"/>
    <s v="Furniture"/>
    <s v="North"/>
    <n v="2"/>
    <n v="41"/>
    <n v="0"/>
    <n v="82"/>
    <n v="13.36"/>
    <n v="0"/>
  </r>
  <r>
    <s v="ORD01106"/>
    <d v="2025-08-16T00:00:00"/>
    <s v="CUST0299"/>
    <s v="Consumer"/>
    <s v="Wireless Mouse"/>
    <s v="Technology"/>
    <s v="West"/>
    <n v="4"/>
    <n v="29.47"/>
    <n v="0.1"/>
    <n v="106.1"/>
    <n v="10.8"/>
    <n v="11.788"/>
  </r>
  <r>
    <s v="ORD00911"/>
    <d v="2025-08-16T00:00:00"/>
    <s v="CUST0170"/>
    <s v="Corporate"/>
    <s v="Mechanical Keyboard"/>
    <s v="Technology"/>
    <s v="West"/>
    <n v="2"/>
    <n v="80.38"/>
    <n v="0.05"/>
    <n v="152.71"/>
    <n v="39.72"/>
    <n v="8.0380000000000003"/>
  </r>
  <r>
    <s v="ORD00469"/>
    <d v="2025-08-17T00:00:00"/>
    <s v="CUST0271"/>
    <s v="Consumer"/>
    <s v="Backpack"/>
    <s v="Lifestyle"/>
    <s v="West"/>
    <n v="5"/>
    <n v="58.46"/>
    <n v="0"/>
    <n v="292.29000000000002"/>
    <n v="39.770000000000003"/>
    <n v="0"/>
  </r>
  <r>
    <s v="ORD00873"/>
    <d v="2025-08-17T00:00:00"/>
    <s v="CUST0092"/>
    <s v="Corporate"/>
    <s v="Mechanical Keyboard"/>
    <s v="Technology"/>
    <s v="South"/>
    <n v="2"/>
    <n v="78.09"/>
    <n v="0"/>
    <n v="156.18"/>
    <n v="40.97"/>
    <n v="0"/>
  </r>
  <r>
    <s v="ORD00996"/>
    <d v="2025-08-17T00:00:00"/>
    <s v="CUST0118"/>
    <s v="Consumer"/>
    <s v="24-inch Monitor"/>
    <s v="Technology"/>
    <s v="North"/>
    <n v="3"/>
    <n v="189.24"/>
    <n v="0.05"/>
    <n v="539.34"/>
    <n v="83.76"/>
    <n v="28.386000000000003"/>
  </r>
  <r>
    <s v="ORD00062"/>
    <d v="2025-08-17T00:00:00"/>
    <s v="CUST0249"/>
    <s v="Small Business"/>
    <s v="Office Chair"/>
    <s v="Furniture"/>
    <s v="East"/>
    <n v="4"/>
    <n v="197.3"/>
    <n v="0.1"/>
    <n v="710.27"/>
    <n v="125.77"/>
    <n v="78.920000000000016"/>
  </r>
  <r>
    <s v="ORD00693"/>
    <d v="2025-08-17T00:00:00"/>
    <s v="CUST0067"/>
    <s v="Corporate"/>
    <s v="File Organizer"/>
    <s v="Office Supplies"/>
    <s v="West"/>
    <n v="2"/>
    <n v="17.09"/>
    <n v="0"/>
    <n v="34.18"/>
    <n v="5.88"/>
    <n v="0"/>
  </r>
  <r>
    <s v="ORD00422"/>
    <d v="2025-08-18T00:00:00"/>
    <s v="CUST0122"/>
    <s v="Small Business"/>
    <s v="Wireless Mouse"/>
    <s v="Technology"/>
    <s v="North"/>
    <n v="2"/>
    <n v="30.2"/>
    <n v="0.05"/>
    <n v="57.39"/>
    <n v="11.71"/>
    <n v="3.02"/>
  </r>
  <r>
    <s v="ORD00736"/>
    <d v="2025-08-18T00:00:00"/>
    <s v="CUST0188"/>
    <s v="Consumer"/>
    <s v="File Organizer"/>
    <s v="Office Supplies"/>
    <s v="North"/>
    <n v="2"/>
    <n v="17.73"/>
    <n v="0"/>
    <n v="35.47"/>
    <n v="6.76"/>
    <n v="0"/>
  </r>
  <r>
    <s v="ORD01088"/>
    <d v="2025-08-19T00:00:00"/>
    <s v="CUST0241"/>
    <s v="Consumer"/>
    <s v="Notebook Set"/>
    <s v="Office Supplies"/>
    <s v="East"/>
    <n v="1"/>
    <n v="13.38"/>
    <n v="0.1"/>
    <n v="12.04"/>
    <n v="2.14"/>
    <n v="1.3380000000000001"/>
  </r>
  <r>
    <s v="ORD01083"/>
    <d v="2025-08-19T00:00:00"/>
    <s v="CUST0182"/>
    <s v="Consumer"/>
    <s v="Printer Paper"/>
    <s v="Office Supplies"/>
    <s v="South"/>
    <n v="2"/>
    <n v="9.81"/>
    <n v="0.15"/>
    <n v="16.68"/>
    <n v="2.94"/>
    <n v="2.9430000000000001"/>
  </r>
  <r>
    <s v="ORD00246"/>
    <d v="2025-08-20T00:00:00"/>
    <s v="CUST0067"/>
    <s v="Corporate"/>
    <s v="Office Chair"/>
    <s v="Furniture"/>
    <s v="East"/>
    <n v="3"/>
    <n v="180.45"/>
    <n v="0"/>
    <n v="541.34"/>
    <n v="54.59"/>
    <n v="0"/>
  </r>
  <r>
    <s v="ORD00641"/>
    <d v="2025-08-21T00:00:00"/>
    <s v="CUST0230"/>
    <s v="Consumer"/>
    <s v="File Organizer"/>
    <s v="Office Supplies"/>
    <s v="West"/>
    <n v="1"/>
    <n v="19.54"/>
    <n v="0.05"/>
    <n v="18.559999999999999"/>
    <n v="3.92"/>
    <n v="0.97699999999999998"/>
  </r>
  <r>
    <s v="ORD01140"/>
    <d v="2025-08-21T00:00:00"/>
    <s v="CUST0225"/>
    <s v="Consumer"/>
    <s v="Desk Lamp"/>
    <s v="Furniture"/>
    <s v="East"/>
    <n v="1"/>
    <n v="39.200000000000003"/>
    <n v="0.1"/>
    <n v="35.28"/>
    <n v="6.81"/>
    <n v="3.9200000000000004"/>
  </r>
  <r>
    <s v="ORD00129"/>
    <d v="2025-08-21T00:00:00"/>
    <s v="CUST0219"/>
    <s v="Corporate"/>
    <s v="Wireless Mouse"/>
    <s v="Technology"/>
    <s v="South"/>
    <n v="4"/>
    <n v="30.45"/>
    <n v="0"/>
    <n v="121.79"/>
    <n v="26.5"/>
    <n v="0"/>
  </r>
  <r>
    <s v="ORD00537"/>
    <d v="2025-08-21T00:00:00"/>
    <s v="CUST0002"/>
    <s v="Corporate"/>
    <s v="Water Bottle"/>
    <s v="Lifestyle"/>
    <s v="North"/>
    <n v="2"/>
    <n v="21.47"/>
    <n v="0"/>
    <n v="42.95"/>
    <n v="4.3499999999999996"/>
    <n v="0"/>
  </r>
  <r>
    <s v="ORD01049"/>
    <d v="2025-08-21T00:00:00"/>
    <s v="CUST0083"/>
    <s v="Corporate"/>
    <s v="Notebook Set"/>
    <s v="Office Supplies"/>
    <s v="South"/>
    <n v="1"/>
    <n v="14.58"/>
    <n v="0"/>
    <n v="14.58"/>
    <n v="3.45"/>
    <n v="0"/>
  </r>
  <r>
    <s v="ORD00964"/>
    <d v="2025-08-22T00:00:00"/>
    <s v="CUST0217"/>
    <s v="Small Business"/>
    <s v="Laptop Pro 14"/>
    <s v="Technology"/>
    <s v="West"/>
    <n v="4"/>
    <n v="922.68"/>
    <n v="0.05"/>
    <n v="3506.18"/>
    <n v="257.7"/>
    <n v="184.536"/>
  </r>
  <r>
    <s v="ORD00757"/>
    <d v="2025-08-22T00:00:00"/>
    <s v="CUST0066"/>
    <s v="Small Business"/>
    <s v="Standing Desk"/>
    <s v="Furniture"/>
    <s v="East"/>
    <n v="1"/>
    <n v="322.01"/>
    <n v="0"/>
    <n v="322.01"/>
    <n v="48.53"/>
    <n v="0"/>
  </r>
  <r>
    <s v="ORD00539"/>
    <d v="2025-08-22T00:00:00"/>
    <s v="CUST0183"/>
    <s v="Consumer"/>
    <s v="Printer Paper"/>
    <s v="Office Supplies"/>
    <s v="South"/>
    <n v="2"/>
    <n v="9.43"/>
    <n v="0"/>
    <n v="18.86"/>
    <n v="4.74"/>
    <n v="0"/>
  </r>
  <r>
    <s v="ORD01027"/>
    <d v="2025-08-22T00:00:00"/>
    <s v="CUST0237"/>
    <s v="Corporate"/>
    <s v="File Organizer"/>
    <s v="Office Supplies"/>
    <s v="North"/>
    <n v="2"/>
    <n v="19.64"/>
    <n v="0.1"/>
    <n v="35.35"/>
    <n v="8.36"/>
    <n v="3.9280000000000004"/>
  </r>
  <r>
    <s v="ORD00257"/>
    <d v="2025-08-23T00:00:00"/>
    <s v="CUST0294"/>
    <s v="Consumer"/>
    <s v="Laptop Pro 14"/>
    <s v="Technology"/>
    <s v="North"/>
    <n v="4"/>
    <n v="896.05"/>
    <n v="0.1"/>
    <n v="3225.78"/>
    <n v="471.19"/>
    <n v="358.42"/>
  </r>
  <r>
    <s v="ORD00804"/>
    <d v="2025-08-23T00:00:00"/>
    <s v="CUST0257"/>
    <s v="Corporate"/>
    <s v="24-inch Monitor"/>
    <s v="Technology"/>
    <s v="South"/>
    <n v="1"/>
    <n v="192.76"/>
    <n v="0"/>
    <n v="192.76"/>
    <n v="32.14"/>
    <n v="0"/>
  </r>
  <r>
    <s v="ORD00461"/>
    <d v="2025-08-23T00:00:00"/>
    <s v="CUST0208"/>
    <s v="Consumer"/>
    <s v="Printer Paper"/>
    <s v="Office Supplies"/>
    <s v="South"/>
    <n v="1"/>
    <n v="8.39"/>
    <n v="0.05"/>
    <n v="7.97"/>
    <n v="1.57"/>
    <n v="0.41950000000000004"/>
  </r>
  <r>
    <s v="ORD00548"/>
    <d v="2025-08-24T00:00:00"/>
    <s v="CUST0086"/>
    <s v="Small Business"/>
    <s v="Wireless Mouse"/>
    <s v="Technology"/>
    <s v="North"/>
    <n v="2"/>
    <n v="29.26"/>
    <n v="0"/>
    <n v="58.52"/>
    <n v="14.47"/>
    <n v="0"/>
  </r>
  <r>
    <s v="ORD00202"/>
    <d v="2025-08-24T00:00:00"/>
    <s v="CUST0283"/>
    <s v="Corporate"/>
    <s v="Water Bottle"/>
    <s v="Lifestyle"/>
    <s v="South"/>
    <n v="1"/>
    <n v="23"/>
    <n v="0.05"/>
    <n v="21.85"/>
    <n v="1.94"/>
    <n v="1.1500000000000001"/>
  </r>
  <r>
    <s v="ORD00411"/>
    <d v="2025-08-25T00:00:00"/>
    <s v="CUST0188"/>
    <s v="Consumer"/>
    <s v="Office Chair"/>
    <s v="Furniture"/>
    <s v="South"/>
    <n v="5"/>
    <n v="164.42"/>
    <n v="0"/>
    <n v="822.1"/>
    <n v="163.57"/>
    <n v="0"/>
  </r>
  <r>
    <s v="ORD00829"/>
    <d v="2025-08-25T00:00:00"/>
    <s v="CUST0209"/>
    <s v="Small Business"/>
    <s v="Desk Lamp"/>
    <s v="Furniture"/>
    <s v="East"/>
    <n v="5"/>
    <n v="40.79"/>
    <n v="0"/>
    <n v="203.94"/>
    <n v="25"/>
    <n v="0"/>
  </r>
  <r>
    <s v="ORD00405"/>
    <d v="2025-08-25T00:00:00"/>
    <s v="CUST0211"/>
    <s v="Consumer"/>
    <s v="Printer Paper"/>
    <s v="Office Supplies"/>
    <s v="West"/>
    <n v="1"/>
    <n v="9.73"/>
    <n v="0"/>
    <n v="9.73"/>
    <n v="2.04"/>
    <n v="0"/>
  </r>
  <r>
    <s v="ORD00504"/>
    <d v="2025-08-25T00:00:00"/>
    <s v="CUST0178"/>
    <s v="Small Business"/>
    <s v="Notebook Set"/>
    <s v="Office Supplies"/>
    <s v="West"/>
    <n v="1"/>
    <n v="13.14"/>
    <n v="0"/>
    <n v="13.14"/>
    <n v="3.21"/>
    <n v="0"/>
  </r>
  <r>
    <s v="ORD00249"/>
    <d v="2025-08-25T00:00:00"/>
    <s v="CUST0090"/>
    <s v="Corporate"/>
    <s v="24-inch Monitor"/>
    <s v="Technology"/>
    <s v="North"/>
    <n v="1"/>
    <n v="198.2"/>
    <n v="0"/>
    <n v="198.2"/>
    <n v="17.309999999999999"/>
    <n v="0"/>
  </r>
  <r>
    <s v="ORD00013"/>
    <d v="2025-08-25T00:00:00"/>
    <s v="CUST0134"/>
    <s v="Small Business"/>
    <s v="Water Bottle"/>
    <s v="Lifestyle"/>
    <s v="North"/>
    <n v="2"/>
    <n v="23.67"/>
    <n v="0.1"/>
    <n v="42.61"/>
    <n v="7.9"/>
    <n v="4.7340000000000009"/>
  </r>
  <r>
    <s v="ORD00008"/>
    <d v="2025-08-25T00:00:00"/>
    <s v="CUST0009"/>
    <s v="Corporate"/>
    <s v="Wireless Mouse"/>
    <s v="Technology"/>
    <s v="South"/>
    <n v="5"/>
    <n v="26.75"/>
    <n v="0.1"/>
    <n v="120.36"/>
    <n v="14.66"/>
    <n v="13.375"/>
  </r>
  <r>
    <s v="ORD01113"/>
    <d v="2025-08-26T00:00:00"/>
    <s v="CUST0236"/>
    <s v="Consumer"/>
    <s v="Water Bottle"/>
    <s v="Lifestyle"/>
    <s v="North"/>
    <n v="1"/>
    <n v="22.94"/>
    <n v="0.05"/>
    <n v="21.79"/>
    <n v="5.6"/>
    <n v="1.147"/>
  </r>
  <r>
    <s v="ORD00386"/>
    <d v="2025-08-26T00:00:00"/>
    <s v="CUST0106"/>
    <s v="Consumer"/>
    <s v="Notebook Set"/>
    <s v="Office Supplies"/>
    <s v="East"/>
    <n v="2"/>
    <n v="13.89"/>
    <n v="0"/>
    <n v="27.77"/>
    <n v="3.92"/>
    <n v="0"/>
  </r>
  <r>
    <s v="ORD00623"/>
    <d v="2025-08-26T00:00:00"/>
    <s v="CUST0082"/>
    <s v="Consumer"/>
    <s v="Water Bottle"/>
    <s v="Lifestyle"/>
    <s v="East"/>
    <n v="1"/>
    <n v="21.01"/>
    <n v="0.15"/>
    <n v="17.86"/>
    <n v="1.48"/>
    <n v="3.1515"/>
  </r>
  <r>
    <s v="ORD00228"/>
    <d v="2025-08-26T00:00:00"/>
    <s v="CUST0040"/>
    <s v="Consumer"/>
    <s v="Notebook Set"/>
    <s v="Office Supplies"/>
    <s v="South"/>
    <n v="2"/>
    <n v="14.32"/>
    <n v="0"/>
    <n v="28.64"/>
    <n v="4.37"/>
    <n v="0"/>
  </r>
  <r>
    <s v="ORD00026"/>
    <d v="2025-08-26T00:00:00"/>
    <s v="CUST0147"/>
    <s v="Corporate"/>
    <s v="Standing Desk"/>
    <s v="Furniture"/>
    <s v="West"/>
    <n v="4"/>
    <n v="320.11"/>
    <n v="0.05"/>
    <n v="1216.4000000000001"/>
    <n v="239.03"/>
    <n v="64.022000000000006"/>
  </r>
  <r>
    <s v="ORD00462"/>
    <d v="2025-08-26T00:00:00"/>
    <s v="CUST0244"/>
    <s v="Consumer"/>
    <s v="24-inch Monitor"/>
    <s v="Technology"/>
    <s v="South"/>
    <n v="4"/>
    <n v="205.27"/>
    <n v="0.05"/>
    <n v="780.01"/>
    <n v="156.88"/>
    <n v="41.054000000000002"/>
  </r>
  <r>
    <s v="ORD00048"/>
    <d v="2025-08-27T00:00:00"/>
    <s v="CUST0283"/>
    <s v="Small Business"/>
    <s v="Backpack"/>
    <s v="Lifestyle"/>
    <s v="East"/>
    <n v="4"/>
    <n v="54.19"/>
    <n v="0.15"/>
    <n v="184.24"/>
    <n v="17.149999999999999"/>
    <n v="32.513999999999996"/>
  </r>
  <r>
    <s v="ORD00107"/>
    <d v="2025-08-27T00:00:00"/>
    <s v="CUST0073"/>
    <s v="Small Business"/>
    <s v="24-inch Monitor"/>
    <s v="Technology"/>
    <s v="North"/>
    <n v="4"/>
    <n v="195.5"/>
    <n v="0.2"/>
    <n v="625.59"/>
    <n v="100.37"/>
    <n v="156.4"/>
  </r>
  <r>
    <s v="ORD00058"/>
    <d v="2025-08-27T00:00:00"/>
    <s v="CUST0006"/>
    <s v="Corporate"/>
    <s v="Laptop Pro 14"/>
    <s v="Technology"/>
    <s v="South"/>
    <n v="2"/>
    <n v="963.13"/>
    <n v="0.15"/>
    <n v="1637.31"/>
    <n v="113.59"/>
    <n v="288.93899999999996"/>
  </r>
  <r>
    <s v="ORD00349"/>
    <d v="2025-08-27T00:00:00"/>
    <s v="CUST0134"/>
    <s v="Corporate"/>
    <s v="Office Chair"/>
    <s v="Furniture"/>
    <s v="South"/>
    <n v="2"/>
    <n v="177.47"/>
    <n v="0.05"/>
    <n v="337.19"/>
    <n v="72.209999999999994"/>
    <n v="17.747"/>
  </r>
  <r>
    <s v="ORD00928"/>
    <d v="2025-08-28T00:00:00"/>
    <s v="CUST0093"/>
    <s v="Consumer"/>
    <s v="Water Bottle"/>
    <s v="Lifestyle"/>
    <s v="East"/>
    <n v="2"/>
    <n v="20.100000000000001"/>
    <n v="0.1"/>
    <n v="36.17"/>
    <n v="6.23"/>
    <n v="4.0200000000000005"/>
  </r>
  <r>
    <s v="ORD00680"/>
    <d v="2025-08-28T00:00:00"/>
    <s v="CUST0251"/>
    <s v="Corporate"/>
    <s v="File Organizer"/>
    <s v="Office Supplies"/>
    <s v="South"/>
    <n v="1"/>
    <n v="19.45"/>
    <n v="0.05"/>
    <n v="18.48"/>
    <n v="1.41"/>
    <n v="0.97250000000000003"/>
  </r>
  <r>
    <s v="ORD00121"/>
    <d v="2025-08-29T00:00:00"/>
    <s v="CUST0089"/>
    <s v="Corporate"/>
    <s v="Water Bottle"/>
    <s v="Lifestyle"/>
    <s v="South"/>
    <n v="3"/>
    <n v="23.39"/>
    <n v="0"/>
    <n v="70.17"/>
    <n v="8.76"/>
    <n v="0"/>
  </r>
  <r>
    <s v="ORD00660"/>
    <d v="2025-08-29T00:00:00"/>
    <s v="CUST0092"/>
    <s v="Consumer"/>
    <s v="Office Chair"/>
    <s v="Furniture"/>
    <s v="West"/>
    <n v="1"/>
    <n v="178.48"/>
    <n v="0"/>
    <n v="178.48"/>
    <n v="41.39"/>
    <n v="0"/>
  </r>
  <r>
    <s v="ORD01052"/>
    <d v="2025-08-29T00:00:00"/>
    <s v="CUST0235"/>
    <s v="Consumer"/>
    <s v="Mechanical Keyboard"/>
    <s v="Technology"/>
    <s v="South"/>
    <n v="4"/>
    <n v="75.78"/>
    <n v="0.05"/>
    <n v="287.97000000000003"/>
    <n v="32.57"/>
    <n v="15.156000000000001"/>
  </r>
  <r>
    <s v="ORD00508"/>
    <d v="2025-08-29T00:00:00"/>
    <s v="CUST0192"/>
    <s v="Consumer"/>
    <s v="Laptop Pro 14"/>
    <s v="Technology"/>
    <s v="North"/>
    <n v="2"/>
    <n v="886.82"/>
    <n v="0"/>
    <n v="1773.63"/>
    <n v="305.98"/>
    <n v="0"/>
  </r>
  <r>
    <s v="ORD00889"/>
    <d v="2025-08-29T00:00:00"/>
    <s v="CUST0018"/>
    <s v="Corporate"/>
    <s v="Standing Desk"/>
    <s v="Furniture"/>
    <s v="South"/>
    <n v="1"/>
    <n v="301.35000000000002"/>
    <n v="0.05"/>
    <n v="286.27999999999997"/>
    <n v="30.83"/>
    <n v="15.067500000000003"/>
  </r>
  <r>
    <s v="ORD00320"/>
    <d v="2025-08-29T00:00:00"/>
    <s v="CUST0198"/>
    <s v="Consumer"/>
    <s v="Laptop Pro 14"/>
    <s v="Technology"/>
    <s v="East"/>
    <n v="5"/>
    <n v="885.21"/>
    <n v="0.05"/>
    <n v="4204.7700000000004"/>
    <n v="453.28"/>
    <n v="221.30250000000001"/>
  </r>
  <r>
    <s v="ORD00638"/>
    <d v="2025-08-30T00:00:00"/>
    <s v="CUST0046"/>
    <s v="Consumer"/>
    <s v="Office Chair"/>
    <s v="Furniture"/>
    <s v="East"/>
    <n v="5"/>
    <n v="179.49"/>
    <n v="0.05"/>
    <n v="852.59"/>
    <n v="152.44"/>
    <n v="44.872500000000002"/>
  </r>
  <r>
    <s v="ORD00042"/>
    <d v="2025-08-30T00:00:00"/>
    <s v="CUST0114"/>
    <s v="Corporate"/>
    <s v="Mechanical Keyboard"/>
    <s v="Technology"/>
    <s v="South"/>
    <n v="2"/>
    <n v="72.61"/>
    <n v="0.1"/>
    <n v="130.69999999999999"/>
    <n v="14.34"/>
    <n v="14.522"/>
  </r>
  <r>
    <s v="ORD00992"/>
    <d v="2025-08-30T00:00:00"/>
    <s v="CUST0095"/>
    <s v="Consumer"/>
    <s v="Water Bottle"/>
    <s v="Lifestyle"/>
    <s v="East"/>
    <n v="1"/>
    <n v="22.05"/>
    <n v="0.2"/>
    <n v="17.64"/>
    <n v="3.25"/>
    <n v="4.41"/>
  </r>
  <r>
    <s v="ORD00005"/>
    <d v="2025-08-30T00:00:00"/>
    <s v="CUST0206"/>
    <s v="Consumer"/>
    <s v="File Organizer"/>
    <s v="Office Supplies"/>
    <s v="South"/>
    <n v="3"/>
    <n v="16.64"/>
    <n v="0.05"/>
    <n v="47.42"/>
    <n v="8.1199999999999992"/>
    <n v="2.4960000000000004"/>
  </r>
  <r>
    <s v="ORD00300"/>
    <d v="2025-08-30T00:00:00"/>
    <s v="CUST0015"/>
    <s v="Consumer"/>
    <s v="File Organizer"/>
    <s v="Office Supplies"/>
    <s v="North"/>
    <n v="2"/>
    <n v="16.68"/>
    <n v="0.05"/>
    <n v="31.7"/>
    <n v="8.25"/>
    <n v="1.6680000000000001"/>
  </r>
  <r>
    <s v="ORD00913"/>
    <d v="2025-08-31T00:00:00"/>
    <s v="CUST0131"/>
    <s v="Consumer"/>
    <s v="Backpack"/>
    <s v="Lifestyle"/>
    <s v="South"/>
    <n v="1"/>
    <n v="58.03"/>
    <n v="0"/>
    <n v="58.03"/>
    <n v="11.27"/>
    <n v="0"/>
  </r>
  <r>
    <s v="ORD00855"/>
    <d v="2025-09-01T00:00:00"/>
    <s v="CUST0107"/>
    <s v="Consumer"/>
    <s v="Standing Desk"/>
    <s v="Furniture"/>
    <s v="North"/>
    <n v="2"/>
    <n v="303.91000000000003"/>
    <n v="0.15"/>
    <n v="516.64"/>
    <n v="112.27"/>
    <n v="91.173000000000002"/>
  </r>
  <r>
    <s v="ORD01071"/>
    <d v="2025-09-01T00:00:00"/>
    <s v="CUST0018"/>
    <s v="Consumer"/>
    <s v="File Organizer"/>
    <s v="Office Supplies"/>
    <s v="East"/>
    <n v="2"/>
    <n v="19.48"/>
    <n v="0"/>
    <n v="38.96"/>
    <n v="4.4800000000000004"/>
    <n v="0"/>
  </r>
  <r>
    <s v="ORD00755"/>
    <d v="2025-09-01T00:00:00"/>
    <s v="CUST0246"/>
    <s v="Small Business"/>
    <s v="Mechanical Keyboard"/>
    <s v="Technology"/>
    <s v="South"/>
    <n v="2"/>
    <n v="71.89"/>
    <n v="0.05"/>
    <n v="136.6"/>
    <n v="19.63"/>
    <n v="7.1890000000000001"/>
  </r>
  <r>
    <s v="ORD00860"/>
    <d v="2025-09-02T00:00:00"/>
    <s v="CUST0127"/>
    <s v="Small Business"/>
    <s v="Notebook Set"/>
    <s v="Office Supplies"/>
    <s v="North"/>
    <n v="3"/>
    <n v="13.54"/>
    <n v="0.05"/>
    <n v="38.6"/>
    <n v="4.79"/>
    <n v="2.0310000000000001"/>
  </r>
  <r>
    <s v="ORD00983"/>
    <d v="2025-09-02T00:00:00"/>
    <s v="CUST0080"/>
    <s v="Corporate"/>
    <s v="Wireless Mouse"/>
    <s v="Technology"/>
    <s v="West"/>
    <n v="1"/>
    <n v="30.49"/>
    <n v="0.05"/>
    <n v="28.96"/>
    <n v="6.64"/>
    <n v="1.5245"/>
  </r>
  <r>
    <s v="ORD00926"/>
    <d v="2025-09-02T00:00:00"/>
    <s v="CUST0076"/>
    <s v="Small Business"/>
    <s v="Mechanical Keyboard"/>
    <s v="Technology"/>
    <s v="East"/>
    <n v="2"/>
    <n v="69.540000000000006"/>
    <n v="0"/>
    <n v="139.09"/>
    <n v="35.82"/>
    <n v="0"/>
  </r>
  <r>
    <s v="ORD00510"/>
    <d v="2025-09-02T00:00:00"/>
    <s v="CUST0085"/>
    <s v="Small Business"/>
    <s v="Standing Desk"/>
    <s v="Furniture"/>
    <s v="North"/>
    <n v="2"/>
    <n v="327.23"/>
    <n v="0.05"/>
    <n v="621.74"/>
    <n v="73.48"/>
    <n v="32.723000000000006"/>
  </r>
  <r>
    <s v="ORD00487"/>
    <d v="2025-09-02T00:00:00"/>
    <s v="CUST0028"/>
    <s v="Corporate"/>
    <s v="Printer Paper"/>
    <s v="Office Supplies"/>
    <s v="West"/>
    <n v="2"/>
    <n v="8.34"/>
    <n v="0.05"/>
    <n v="15.85"/>
    <n v="1.93"/>
    <n v="0.83400000000000007"/>
  </r>
  <r>
    <s v="ORD00353"/>
    <d v="2025-09-03T00:00:00"/>
    <s v="CUST0282"/>
    <s v="Corporate"/>
    <s v="Laptop Pro 14"/>
    <s v="Technology"/>
    <s v="East"/>
    <n v="1"/>
    <n v="877.27"/>
    <n v="0.1"/>
    <n v="789.54"/>
    <n v="102.88"/>
    <n v="87.727000000000004"/>
  </r>
  <r>
    <s v="ORD01015"/>
    <d v="2025-09-03T00:00:00"/>
    <s v="CUST0150"/>
    <s v="Consumer"/>
    <s v="Mechanical Keyboard"/>
    <s v="Technology"/>
    <s v="North"/>
    <n v="4"/>
    <n v="68.67"/>
    <n v="0"/>
    <n v="274.69"/>
    <n v="65.27"/>
    <n v="0"/>
  </r>
  <r>
    <s v="ORD00653"/>
    <d v="2025-09-03T00:00:00"/>
    <s v="CUST0256"/>
    <s v="Corporate"/>
    <s v="Laptop Pro 14"/>
    <s v="Technology"/>
    <s v="North"/>
    <n v="2"/>
    <n v="934.42"/>
    <n v="0"/>
    <n v="1868.83"/>
    <n v="468.44"/>
    <n v="0"/>
  </r>
  <r>
    <s v="ORD00374"/>
    <d v="2025-09-03T00:00:00"/>
    <s v="CUST0075"/>
    <s v="Small Business"/>
    <s v="Laptop Pro 14"/>
    <s v="Technology"/>
    <s v="South"/>
    <n v="2"/>
    <n v="1013.24"/>
    <n v="0.15"/>
    <n v="1722.5"/>
    <n v="190.43"/>
    <n v="303.97199999999998"/>
  </r>
  <r>
    <s v="ORD00640"/>
    <d v="2025-09-03T00:00:00"/>
    <s v="CUST0213"/>
    <s v="Small Business"/>
    <s v="Standing Desk"/>
    <s v="Furniture"/>
    <s v="South"/>
    <n v="2"/>
    <n v="327.13"/>
    <n v="0.15"/>
    <n v="556.12"/>
    <n v="36.96"/>
    <n v="98.138999999999996"/>
  </r>
  <r>
    <s v="ORD00396"/>
    <d v="2025-09-03T00:00:00"/>
    <s v="CUST0094"/>
    <s v="Corporate"/>
    <s v="Wireless Mouse"/>
    <s v="Technology"/>
    <s v="South"/>
    <n v="4"/>
    <n v="29.17"/>
    <n v="0.05"/>
    <n v="110.83"/>
    <n v="18.02"/>
    <n v="5.8340000000000005"/>
  </r>
  <r>
    <s v="ORD00937"/>
    <d v="2025-09-03T00:00:00"/>
    <s v="CUST0143"/>
    <s v="Consumer"/>
    <s v="File Organizer"/>
    <s v="Office Supplies"/>
    <s v="North"/>
    <n v="2"/>
    <n v="19.11"/>
    <n v="0"/>
    <n v="38.22"/>
    <n v="9.18"/>
    <n v="0"/>
  </r>
  <r>
    <s v="ORD00074"/>
    <d v="2025-09-04T00:00:00"/>
    <s v="CUST0134"/>
    <s v="Consumer"/>
    <s v="Mechanical Keyboard"/>
    <s v="Technology"/>
    <s v="South"/>
    <n v="5"/>
    <n v="73.47"/>
    <n v="0"/>
    <n v="367.34"/>
    <n v="100.61"/>
    <n v="0"/>
  </r>
  <r>
    <s v="ORD00452"/>
    <d v="2025-09-04T00:00:00"/>
    <s v="CUST0099"/>
    <s v="Consumer"/>
    <s v="Laptop Pro 14"/>
    <s v="Technology"/>
    <s v="South"/>
    <n v="1"/>
    <n v="939.38"/>
    <n v="0.2"/>
    <n v="751.5"/>
    <n v="97.82"/>
    <n v="187.876"/>
  </r>
  <r>
    <s v="ORD00115"/>
    <d v="2025-09-04T00:00:00"/>
    <s v="CUST0185"/>
    <s v="Small Business"/>
    <s v="Wireless Mouse"/>
    <s v="Technology"/>
    <s v="West"/>
    <n v="5"/>
    <n v="29.5"/>
    <n v="0.05"/>
    <n v="140.11000000000001"/>
    <n v="20.92"/>
    <n v="7.375"/>
  </r>
  <r>
    <s v="ORD00219"/>
    <d v="2025-09-05T00:00:00"/>
    <s v="CUST0021"/>
    <s v="Corporate"/>
    <s v="Water Bottle"/>
    <s v="Lifestyle"/>
    <s v="West"/>
    <n v="4"/>
    <n v="21.64"/>
    <n v="0"/>
    <n v="86.57"/>
    <n v="11.43"/>
    <n v="0"/>
  </r>
  <r>
    <s v="ORD00226"/>
    <d v="2025-09-05T00:00:00"/>
    <s v="CUST0197"/>
    <s v="Corporate"/>
    <s v="Mechanical Keyboard"/>
    <s v="Technology"/>
    <s v="West"/>
    <n v="2"/>
    <n v="77.349999999999994"/>
    <n v="0"/>
    <n v="154.69999999999999"/>
    <n v="37.81"/>
    <n v="0"/>
  </r>
  <r>
    <s v="ORD00315"/>
    <d v="2025-09-05T00:00:00"/>
    <s v="CUST0138"/>
    <s v="Consumer"/>
    <s v="24-inch Monitor"/>
    <s v="Technology"/>
    <s v="South"/>
    <n v="1"/>
    <n v="189"/>
    <n v="0.1"/>
    <n v="170.1"/>
    <n v="23.89"/>
    <n v="18.900000000000002"/>
  </r>
  <r>
    <s v="ORD00612"/>
    <d v="2025-09-06T00:00:00"/>
    <s v="CUST0135"/>
    <s v="Consumer"/>
    <s v="Water Bottle"/>
    <s v="Lifestyle"/>
    <s v="South"/>
    <n v="3"/>
    <n v="22.36"/>
    <n v="0.1"/>
    <n v="60.36"/>
    <n v="12.27"/>
    <n v="6.7080000000000002"/>
  </r>
  <r>
    <s v="ORD00180"/>
    <d v="2025-09-06T00:00:00"/>
    <s v="CUST0143"/>
    <s v="Small Business"/>
    <s v="Printer Paper"/>
    <s v="Office Supplies"/>
    <s v="South"/>
    <n v="1"/>
    <n v="9.67"/>
    <n v="0.15"/>
    <n v="8.2200000000000006"/>
    <n v="0.59"/>
    <n v="1.4504999999999999"/>
  </r>
  <r>
    <s v="ORD00950"/>
    <d v="2025-09-06T00:00:00"/>
    <s v="CUST0120"/>
    <s v="Consumer"/>
    <s v="Mechanical Keyboard"/>
    <s v="Technology"/>
    <s v="East"/>
    <n v="1"/>
    <n v="81.87"/>
    <n v="0"/>
    <n v="81.87"/>
    <n v="20.54"/>
    <n v="0"/>
  </r>
  <r>
    <s v="ORD01128"/>
    <d v="2025-09-06T00:00:00"/>
    <s v="CUST0210"/>
    <s v="Corporate"/>
    <s v="Notebook Set"/>
    <s v="Office Supplies"/>
    <s v="South"/>
    <n v="1"/>
    <n v="14.3"/>
    <n v="0.2"/>
    <n v="11.44"/>
    <n v="1.26"/>
    <n v="2.8600000000000003"/>
  </r>
  <r>
    <s v="ORD01118"/>
    <d v="2025-09-07T00:00:00"/>
    <s v="CUST0213"/>
    <s v="Consumer"/>
    <s v="Wireless Mouse"/>
    <s v="Technology"/>
    <s v="East"/>
    <n v="1"/>
    <n v="28.81"/>
    <n v="0"/>
    <n v="28.81"/>
    <n v="4.71"/>
    <n v="0"/>
  </r>
  <r>
    <s v="ORD00879"/>
    <d v="2025-09-07T00:00:00"/>
    <s v="CUST0245"/>
    <s v="Consumer"/>
    <s v="Backpack"/>
    <s v="Lifestyle"/>
    <s v="South"/>
    <n v="3"/>
    <n v="51.68"/>
    <n v="0.1"/>
    <n v="139.55000000000001"/>
    <n v="21.33"/>
    <n v="15.504"/>
  </r>
  <r>
    <s v="ORD00143"/>
    <d v="2025-09-08T00:00:00"/>
    <s v="CUST0014"/>
    <s v="Corporate"/>
    <s v="Desk Lamp"/>
    <s v="Furniture"/>
    <s v="East"/>
    <n v="2"/>
    <n v="41.84"/>
    <n v="0.1"/>
    <n v="75.31"/>
    <n v="5.32"/>
    <n v="8.3680000000000003"/>
  </r>
  <r>
    <s v="ORD00580"/>
    <d v="2025-09-08T00:00:00"/>
    <s v="CUST0196"/>
    <s v="Consumer"/>
    <s v="Desk Lamp"/>
    <s v="Furniture"/>
    <s v="South"/>
    <n v="1"/>
    <n v="44.97"/>
    <n v="0.2"/>
    <n v="35.97"/>
    <n v="4.7300000000000004"/>
    <n v="8.9939999999999998"/>
  </r>
  <r>
    <s v="ORD00517"/>
    <d v="2025-09-08T00:00:00"/>
    <s v="CUST0024"/>
    <s v="Consumer"/>
    <s v="Backpack"/>
    <s v="Lifestyle"/>
    <s v="West"/>
    <n v="1"/>
    <n v="50.26"/>
    <n v="0.15"/>
    <n v="42.72"/>
    <n v="10.02"/>
    <n v="7.5389999999999997"/>
  </r>
  <r>
    <s v="ORD00154"/>
    <d v="2025-09-08T00:00:00"/>
    <s v="CUST0245"/>
    <s v="Consumer"/>
    <s v="24-inch Monitor"/>
    <s v="Technology"/>
    <s v="South"/>
    <n v="2"/>
    <n v="190.65"/>
    <n v="0.15"/>
    <n v="324.11"/>
    <n v="23.25"/>
    <n v="57.195"/>
  </r>
  <r>
    <s v="ORD01092"/>
    <d v="2025-09-09T00:00:00"/>
    <s v="CUST0147"/>
    <s v="Consumer"/>
    <s v="Desk Lamp"/>
    <s v="Furniture"/>
    <s v="East"/>
    <n v="1"/>
    <n v="43.52"/>
    <n v="0.1"/>
    <n v="39.17"/>
    <n v="8.14"/>
    <n v="4.3520000000000003"/>
  </r>
  <r>
    <s v="ORD00003"/>
    <d v="2025-09-10T00:00:00"/>
    <s v="CUST0051"/>
    <s v="Corporate"/>
    <s v="Backpack"/>
    <s v="Lifestyle"/>
    <s v="North"/>
    <n v="2"/>
    <n v="60.21"/>
    <n v="0"/>
    <n v="120.42"/>
    <n v="15.24"/>
    <n v="0"/>
  </r>
  <r>
    <s v="ORD00900"/>
    <d v="2025-09-10T00:00:00"/>
    <s v="CUST0128"/>
    <s v="Corporate"/>
    <s v="Backpack"/>
    <s v="Lifestyle"/>
    <s v="West"/>
    <n v="2"/>
    <n v="58.61"/>
    <n v="0"/>
    <n v="117.23"/>
    <n v="27.86"/>
    <n v="0"/>
  </r>
  <r>
    <s v="ORD00509"/>
    <d v="2025-09-10T00:00:00"/>
    <s v="CUST0085"/>
    <s v="Small Business"/>
    <s v="Printer Paper"/>
    <s v="Office Supplies"/>
    <s v="North"/>
    <n v="1"/>
    <n v="9.2899999999999991"/>
    <n v="0"/>
    <n v="9.2899999999999991"/>
    <n v="1.85"/>
    <n v="0"/>
  </r>
  <r>
    <s v="ORD00904"/>
    <d v="2025-09-11T00:00:00"/>
    <s v="CUST0057"/>
    <s v="Consumer"/>
    <s v="Standing Desk"/>
    <s v="Furniture"/>
    <s v="South"/>
    <n v="2"/>
    <n v="315.77999999999997"/>
    <n v="0.05"/>
    <n v="599.99"/>
    <n v="62.39"/>
    <n v="31.577999999999999"/>
  </r>
  <r>
    <s v="ORD00654"/>
    <d v="2025-09-11T00:00:00"/>
    <s v="CUST0015"/>
    <s v="Consumer"/>
    <s v="Notebook Set"/>
    <s v="Office Supplies"/>
    <s v="North"/>
    <n v="1"/>
    <n v="14.33"/>
    <n v="0"/>
    <n v="14.33"/>
    <n v="3.9"/>
    <n v="0"/>
  </r>
  <r>
    <s v="ORD00307"/>
    <d v="2025-09-12T00:00:00"/>
    <s v="CUST0141"/>
    <s v="Small Business"/>
    <s v="Water Bottle"/>
    <s v="Lifestyle"/>
    <s v="North"/>
    <n v="1"/>
    <n v="23.36"/>
    <n v="0.05"/>
    <n v="22.19"/>
    <n v="2.69"/>
    <n v="1.1679999999999999"/>
  </r>
  <r>
    <s v="ORD00930"/>
    <d v="2025-09-12T00:00:00"/>
    <s v="CUST0245"/>
    <s v="Consumer"/>
    <s v="Printer Paper"/>
    <s v="Office Supplies"/>
    <s v="West"/>
    <n v="1"/>
    <n v="8.61"/>
    <n v="0"/>
    <n v="8.61"/>
    <n v="2.41"/>
    <n v="0"/>
  </r>
  <r>
    <s v="ORD01002"/>
    <d v="2025-09-13T00:00:00"/>
    <s v="CUST0134"/>
    <s v="Consumer"/>
    <s v="Backpack"/>
    <s v="Lifestyle"/>
    <s v="South"/>
    <n v="1"/>
    <n v="51.96"/>
    <n v="0.1"/>
    <n v="46.76"/>
    <n v="3"/>
    <n v="5.1960000000000006"/>
  </r>
  <r>
    <s v="ORD00183"/>
    <d v="2025-09-13T00:00:00"/>
    <s v="CUST0025"/>
    <s v="Consumer"/>
    <s v="File Organizer"/>
    <s v="Office Supplies"/>
    <s v="West"/>
    <n v="4"/>
    <n v="17.95"/>
    <n v="0.15"/>
    <n v="61.04"/>
    <n v="9.86"/>
    <n v="10.77"/>
  </r>
  <r>
    <s v="ORD00663"/>
    <d v="2025-09-13T00:00:00"/>
    <s v="CUST0282"/>
    <s v="Small Business"/>
    <s v="File Organizer"/>
    <s v="Office Supplies"/>
    <s v="North"/>
    <n v="5"/>
    <n v="19.52"/>
    <n v="0.05"/>
    <n v="92.74"/>
    <n v="16.64"/>
    <n v="4.88"/>
  </r>
  <r>
    <s v="ORD00288"/>
    <d v="2025-09-13T00:00:00"/>
    <s v="CUST0166"/>
    <s v="Consumer"/>
    <s v="Mechanical Keyboard"/>
    <s v="Technology"/>
    <s v="South"/>
    <n v="3"/>
    <n v="79.83"/>
    <n v="0.05"/>
    <n v="227.52"/>
    <n v="54.83"/>
    <n v="11.974500000000001"/>
  </r>
  <r>
    <s v="ORD00792"/>
    <d v="2025-09-14T00:00:00"/>
    <s v="CUST0061"/>
    <s v="Consumer"/>
    <s v="File Organizer"/>
    <s v="Office Supplies"/>
    <s v="West"/>
    <n v="2"/>
    <n v="18.5"/>
    <n v="0.05"/>
    <n v="35.15"/>
    <n v="3.34"/>
    <n v="1.85"/>
  </r>
  <r>
    <s v="ORD01053"/>
    <d v="2025-09-14T00:00:00"/>
    <s v="CUST0238"/>
    <s v="Consumer"/>
    <s v="Notebook Set"/>
    <s v="Office Supplies"/>
    <s v="North"/>
    <n v="2"/>
    <n v="15.15"/>
    <n v="0.1"/>
    <n v="27.27"/>
    <n v="4.12"/>
    <n v="3.0300000000000002"/>
  </r>
  <r>
    <s v="ORD00089"/>
    <d v="2025-09-14T00:00:00"/>
    <s v="CUST0149"/>
    <s v="Small Business"/>
    <s v="Office Chair"/>
    <s v="Furniture"/>
    <s v="West"/>
    <n v="1"/>
    <n v="193.32"/>
    <n v="0.15"/>
    <n v="164.32"/>
    <n v="24.31"/>
    <n v="28.997999999999998"/>
  </r>
  <r>
    <s v="ORD00470"/>
    <d v="2025-09-15T00:00:00"/>
    <s v="CUST0095"/>
    <s v="Consumer"/>
    <s v="24-inch Monitor"/>
    <s v="Technology"/>
    <s v="North"/>
    <n v="1"/>
    <n v="208.29"/>
    <n v="0"/>
    <n v="208.29"/>
    <n v="48"/>
    <n v="0"/>
  </r>
  <r>
    <s v="ORD00429"/>
    <d v="2025-09-15T00:00:00"/>
    <s v="CUST0144"/>
    <s v="Small Business"/>
    <s v="Backpack"/>
    <s v="Lifestyle"/>
    <s v="North"/>
    <n v="1"/>
    <n v="49.61"/>
    <n v="0.05"/>
    <n v="47.13"/>
    <n v="11.25"/>
    <n v="2.4805000000000001"/>
  </r>
  <r>
    <s v="ORD00935"/>
    <d v="2025-09-15T00:00:00"/>
    <s v="CUST0060"/>
    <s v="Consumer"/>
    <s v="File Organizer"/>
    <s v="Office Supplies"/>
    <s v="West"/>
    <n v="5"/>
    <n v="18.04"/>
    <n v="0.1"/>
    <n v="81.19"/>
    <n v="15.61"/>
    <n v="9.02"/>
  </r>
  <r>
    <s v="ORD01094"/>
    <d v="2025-09-15T00:00:00"/>
    <s v="CUST0276"/>
    <s v="Consumer"/>
    <s v="File Organizer"/>
    <s v="Office Supplies"/>
    <s v="North"/>
    <n v="3"/>
    <n v="17.7"/>
    <n v="0.1"/>
    <n v="47.78"/>
    <n v="2.82"/>
    <n v="5.31"/>
  </r>
  <r>
    <s v="ORD01126"/>
    <d v="2025-09-15T00:00:00"/>
    <s v="CUST0213"/>
    <s v="Corporate"/>
    <s v="Laptop Pro 14"/>
    <s v="Technology"/>
    <s v="West"/>
    <n v="2"/>
    <n v="858.66"/>
    <n v="0"/>
    <n v="1717.31"/>
    <n v="420.81"/>
    <n v="0"/>
  </r>
  <r>
    <s v="ORD00865"/>
    <d v="2025-09-16T00:00:00"/>
    <s v="CUST0197"/>
    <s v="Small Business"/>
    <s v="Water Bottle"/>
    <s v="Lifestyle"/>
    <s v="North"/>
    <n v="1"/>
    <n v="19.88"/>
    <n v="0.05"/>
    <n v="18.89"/>
    <n v="2.2799999999999998"/>
    <n v="0.99399999999999999"/>
  </r>
  <r>
    <s v="ORD00061"/>
    <d v="2025-09-16T00:00:00"/>
    <s v="CUST0207"/>
    <s v="Small Business"/>
    <s v="Water Bottle"/>
    <s v="Lifestyle"/>
    <s v="South"/>
    <n v="5"/>
    <n v="23.28"/>
    <n v="0"/>
    <n v="116.42"/>
    <n v="23.05"/>
    <n v="0"/>
  </r>
  <r>
    <s v="ORD01046"/>
    <d v="2025-09-16T00:00:00"/>
    <s v="CUST0262"/>
    <s v="Consumer"/>
    <s v="Standing Desk"/>
    <s v="Furniture"/>
    <s v="North"/>
    <n v="1"/>
    <n v="330.07"/>
    <n v="0.05"/>
    <n v="313.57"/>
    <n v="42.6"/>
    <n v="16.503499999999999"/>
  </r>
  <r>
    <s v="ORD00965"/>
    <d v="2025-09-17T00:00:00"/>
    <s v="CUST0200"/>
    <s v="Consumer"/>
    <s v="Notebook Set"/>
    <s v="Office Supplies"/>
    <s v="North"/>
    <n v="1"/>
    <n v="13.43"/>
    <n v="0.15"/>
    <n v="11.42"/>
    <n v="1.89"/>
    <n v="2.0145"/>
  </r>
  <r>
    <s v="ORD01066"/>
    <d v="2025-09-17T00:00:00"/>
    <s v="CUST0018"/>
    <s v="Corporate"/>
    <s v="File Organizer"/>
    <s v="Office Supplies"/>
    <s v="South"/>
    <n v="3"/>
    <n v="16.91"/>
    <n v="0.1"/>
    <n v="45.67"/>
    <n v="6.94"/>
    <n v="5.0730000000000004"/>
  </r>
  <r>
    <s v="ORD00846"/>
    <d v="2025-09-17T00:00:00"/>
    <s v="CUST0144"/>
    <s v="Corporate"/>
    <s v="File Organizer"/>
    <s v="Office Supplies"/>
    <s v="East"/>
    <n v="1"/>
    <n v="16.79"/>
    <n v="0.15"/>
    <n v="14.27"/>
    <n v="1.4"/>
    <n v="2.5185"/>
  </r>
  <r>
    <s v="ORD01100"/>
    <d v="2025-09-17T00:00:00"/>
    <s v="CUST0172"/>
    <s v="Corporate"/>
    <s v="Printer Paper"/>
    <s v="Office Supplies"/>
    <s v="North"/>
    <n v="2"/>
    <n v="8.16"/>
    <n v="0.05"/>
    <n v="15.5"/>
    <n v="2.4700000000000002"/>
    <n v="0.81600000000000006"/>
  </r>
  <r>
    <s v="ORD00943"/>
    <d v="2025-09-17T00:00:00"/>
    <s v="CUST0074"/>
    <s v="Consumer"/>
    <s v="Standing Desk"/>
    <s v="Furniture"/>
    <s v="North"/>
    <n v="1"/>
    <n v="340.45"/>
    <n v="0.05"/>
    <n v="323.42"/>
    <n v="40.479999999999997"/>
    <n v="17.022500000000001"/>
  </r>
  <r>
    <s v="ORD00100"/>
    <d v="2025-09-18T00:00:00"/>
    <s v="CUST0202"/>
    <s v="Corporate"/>
    <s v="Office Chair"/>
    <s v="Furniture"/>
    <s v="South"/>
    <n v="2"/>
    <n v="196.14"/>
    <n v="0"/>
    <n v="392.29"/>
    <n v="91.29"/>
    <n v="0"/>
  </r>
  <r>
    <s v="ORD00675"/>
    <d v="2025-09-18T00:00:00"/>
    <s v="CUST0092"/>
    <s v="Consumer"/>
    <s v="Laptop Pro 14"/>
    <s v="Technology"/>
    <s v="West"/>
    <n v="1"/>
    <n v="883.77"/>
    <n v="0.05"/>
    <n v="839.58"/>
    <n v="190.49"/>
    <n v="44.188500000000005"/>
  </r>
  <r>
    <s v="ORD00635"/>
    <d v="2025-09-18T00:00:00"/>
    <s v="CUST0170"/>
    <s v="Consumer"/>
    <s v="Water Bottle"/>
    <s v="Lifestyle"/>
    <s v="West"/>
    <n v="1"/>
    <n v="22.38"/>
    <n v="0"/>
    <n v="22.38"/>
    <n v="3.83"/>
    <n v="0"/>
  </r>
  <r>
    <s v="ORD00430"/>
    <d v="2025-09-19T00:00:00"/>
    <s v="CUST0283"/>
    <s v="Consumer"/>
    <s v="Printer Paper"/>
    <s v="Office Supplies"/>
    <s v="West"/>
    <n v="1"/>
    <n v="8.82"/>
    <n v="0.05"/>
    <n v="8.3800000000000008"/>
    <n v="2.21"/>
    <n v="0.44100000000000006"/>
  </r>
  <r>
    <s v="ORD00134"/>
    <d v="2025-09-19T00:00:00"/>
    <s v="CUST0281"/>
    <s v="Small Business"/>
    <s v="Mechanical Keyboard"/>
    <s v="Technology"/>
    <s v="South"/>
    <n v="2"/>
    <n v="70.95"/>
    <n v="0.15"/>
    <n v="120.61"/>
    <n v="11.99"/>
    <n v="21.285"/>
  </r>
  <r>
    <s v="ORD01169"/>
    <d v="2025-09-19T00:00:00"/>
    <s v="CUST0298"/>
    <s v="Consumer"/>
    <s v="24-inch Monitor"/>
    <s v="Technology"/>
    <s v="West"/>
    <n v="5"/>
    <n v="227.51"/>
    <n v="0.05"/>
    <n v="1080.69"/>
    <n v="225.25"/>
    <n v="56.877499999999998"/>
  </r>
  <r>
    <s v="ORD01149"/>
    <d v="2025-09-19T00:00:00"/>
    <s v="CUST0258"/>
    <s v="Consumer"/>
    <s v="24-inch Monitor"/>
    <s v="Technology"/>
    <s v="East"/>
    <n v="1"/>
    <n v="218.41"/>
    <n v="0.15"/>
    <n v="185.65"/>
    <n v="28.47"/>
    <n v="32.761499999999998"/>
  </r>
  <r>
    <s v="ORD00892"/>
    <d v="2025-09-20T00:00:00"/>
    <s v="CUST0149"/>
    <s v="Consumer"/>
    <s v="Mechanical Keyboard"/>
    <s v="Technology"/>
    <s v="South"/>
    <n v="2"/>
    <n v="78.92"/>
    <n v="0.2"/>
    <n v="126.28"/>
    <n v="16.989999999999998"/>
    <n v="31.568000000000001"/>
  </r>
  <r>
    <s v="ORD01016"/>
    <d v="2025-09-21T00:00:00"/>
    <s v="CUST0066"/>
    <s v="Corporate"/>
    <s v="File Organizer"/>
    <s v="Office Supplies"/>
    <s v="East"/>
    <n v="3"/>
    <n v="16.899999999999999"/>
    <n v="0.05"/>
    <n v="48.16"/>
    <n v="6.05"/>
    <n v="2.5350000000000001"/>
  </r>
  <r>
    <s v="ORD00683"/>
    <d v="2025-09-21T00:00:00"/>
    <s v="CUST0252"/>
    <s v="Consumer"/>
    <s v="Printer Paper"/>
    <s v="Office Supplies"/>
    <s v="North"/>
    <n v="3"/>
    <n v="9.39"/>
    <n v="0.2"/>
    <n v="22.54"/>
    <n v="5.13"/>
    <n v="5.6340000000000003"/>
  </r>
  <r>
    <s v="ORD00095"/>
    <d v="2025-09-21T00:00:00"/>
    <s v="CUST0178"/>
    <s v="Consumer"/>
    <s v="Desk Lamp"/>
    <s v="Furniture"/>
    <s v="West"/>
    <n v="1"/>
    <n v="41.23"/>
    <n v="0.1"/>
    <n v="37.11"/>
    <n v="2.5099999999999998"/>
    <n v="4.1230000000000002"/>
  </r>
  <r>
    <s v="ORD00609"/>
    <d v="2025-09-21T00:00:00"/>
    <s v="CUST0058"/>
    <s v="Consumer"/>
    <s v="Laptop Pro 14"/>
    <s v="Technology"/>
    <s v="East"/>
    <n v="1"/>
    <n v="1010.9"/>
    <n v="0.15"/>
    <n v="859.26"/>
    <n v="179.08"/>
    <n v="151.63499999999999"/>
  </r>
  <r>
    <s v="ORD01029"/>
    <d v="2025-09-22T00:00:00"/>
    <s v="CUST0238"/>
    <s v="Consumer"/>
    <s v="Wireless Mouse"/>
    <s v="Technology"/>
    <s v="North"/>
    <n v="1"/>
    <n v="29.7"/>
    <n v="0.1"/>
    <n v="26.73"/>
    <n v="6.29"/>
    <n v="2.97"/>
  </r>
  <r>
    <s v="ORD00883"/>
    <d v="2025-09-22T00:00:00"/>
    <s v="CUST0191"/>
    <s v="Small Business"/>
    <s v="Standing Desk"/>
    <s v="Furniture"/>
    <s v="South"/>
    <n v="2"/>
    <n v="299.39"/>
    <n v="0.05"/>
    <n v="568.84"/>
    <n v="100.92"/>
    <n v="29.939"/>
  </r>
  <r>
    <s v="ORD00721"/>
    <d v="2025-09-23T00:00:00"/>
    <s v="CUST0092"/>
    <s v="Consumer"/>
    <s v="Backpack"/>
    <s v="Lifestyle"/>
    <s v="East"/>
    <n v="2"/>
    <n v="50.5"/>
    <n v="0.1"/>
    <n v="90.89"/>
    <n v="14.59"/>
    <n v="10.100000000000001"/>
  </r>
  <r>
    <s v="ORD00572"/>
    <d v="2025-09-23T00:00:00"/>
    <s v="CUST0193"/>
    <s v="Consumer"/>
    <s v="File Organizer"/>
    <s v="Office Supplies"/>
    <s v="South"/>
    <n v="2"/>
    <n v="17.47"/>
    <n v="0"/>
    <n v="34.93"/>
    <n v="7.72"/>
    <n v="0"/>
  </r>
  <r>
    <s v="ORD00186"/>
    <d v="2025-09-23T00:00:00"/>
    <s v="CUST0156"/>
    <s v="Small Business"/>
    <s v="Printer Paper"/>
    <s v="Office Supplies"/>
    <s v="North"/>
    <n v="1"/>
    <n v="9.8699999999999992"/>
    <n v="0.1"/>
    <n v="8.8800000000000008"/>
    <n v="0.98"/>
    <n v="0.98699999999999999"/>
  </r>
  <r>
    <s v="ORD00934"/>
    <d v="2025-09-23T00:00:00"/>
    <s v="CUST0129"/>
    <s v="Consumer"/>
    <s v="Notebook Set"/>
    <s v="Office Supplies"/>
    <s v="South"/>
    <n v="3"/>
    <n v="14.39"/>
    <n v="0"/>
    <n v="43.18"/>
    <n v="11.03"/>
    <n v="0"/>
  </r>
  <r>
    <s v="ORD00575"/>
    <d v="2025-09-23T00:00:00"/>
    <s v="CUST0182"/>
    <s v="Small Business"/>
    <s v="Standing Desk"/>
    <s v="Furniture"/>
    <s v="West"/>
    <n v="2"/>
    <n v="300.77999999999997"/>
    <n v="0.15"/>
    <n v="511.32"/>
    <n v="124.03"/>
    <n v="90.233999999999995"/>
  </r>
  <r>
    <s v="ORD00703"/>
    <d v="2025-09-24T00:00:00"/>
    <s v="CUST0040"/>
    <s v="Corporate"/>
    <s v="Standing Desk"/>
    <s v="Furniture"/>
    <s v="West"/>
    <n v="2"/>
    <n v="338.05"/>
    <n v="0.1"/>
    <n v="608.49"/>
    <n v="98.44"/>
    <n v="67.61"/>
  </r>
  <r>
    <s v="ORD00163"/>
    <d v="2025-09-24T00:00:00"/>
    <s v="CUST0117"/>
    <s v="Corporate"/>
    <s v="Mechanical Keyboard"/>
    <s v="Technology"/>
    <s v="North"/>
    <n v="3"/>
    <n v="75.64"/>
    <n v="0.05"/>
    <n v="215.56"/>
    <n v="55.28"/>
    <n v="11.346000000000002"/>
  </r>
  <r>
    <s v="ORD00495"/>
    <d v="2025-09-24T00:00:00"/>
    <s v="CUST0199"/>
    <s v="Consumer"/>
    <s v="Mechanical Keyboard"/>
    <s v="Technology"/>
    <s v="West"/>
    <n v="1"/>
    <n v="72.849999999999994"/>
    <n v="0.05"/>
    <n v="69.209999999999994"/>
    <n v="17.62"/>
    <n v="3.6425000000000001"/>
  </r>
  <r>
    <s v="ORD00545"/>
    <d v="2025-09-25T00:00:00"/>
    <s v="CUST0081"/>
    <s v="Consumer"/>
    <s v="Desk Lamp"/>
    <s v="Furniture"/>
    <s v="East"/>
    <n v="1"/>
    <n v="45.95"/>
    <n v="0.1"/>
    <n v="41.35"/>
    <n v="8.1300000000000008"/>
    <n v="4.5950000000000006"/>
  </r>
  <r>
    <s v="ORD00595"/>
    <d v="2025-09-25T00:00:00"/>
    <s v="CUST0117"/>
    <s v="Consumer"/>
    <s v="Notebook Set"/>
    <s v="Office Supplies"/>
    <s v="South"/>
    <n v="2"/>
    <n v="12.61"/>
    <n v="0.05"/>
    <n v="23.95"/>
    <n v="2.89"/>
    <n v="1.2610000000000001"/>
  </r>
  <r>
    <s v="ORD00540"/>
    <d v="2025-09-25T00:00:00"/>
    <s v="CUST0278"/>
    <s v="Small Business"/>
    <s v="Notebook Set"/>
    <s v="Office Supplies"/>
    <s v="West"/>
    <n v="2"/>
    <n v="14.42"/>
    <n v="0"/>
    <n v="28.83"/>
    <n v="2.7"/>
    <n v="0"/>
  </r>
  <r>
    <s v="ORD01038"/>
    <d v="2025-09-25T00:00:00"/>
    <s v="CUST0011"/>
    <s v="Corporate"/>
    <s v="Office Chair"/>
    <s v="Furniture"/>
    <s v="East"/>
    <n v="1"/>
    <n v="192.36"/>
    <n v="0.05"/>
    <n v="182.74"/>
    <n v="30.72"/>
    <n v="9.6180000000000021"/>
  </r>
  <r>
    <s v="ORD00248"/>
    <d v="2025-09-25T00:00:00"/>
    <s v="CUST0291"/>
    <s v="Consumer"/>
    <s v="Standing Desk"/>
    <s v="Furniture"/>
    <s v="North"/>
    <n v="1"/>
    <n v="318.87"/>
    <n v="0.2"/>
    <n v="255.1"/>
    <n v="35.85"/>
    <n v="63.774000000000001"/>
  </r>
  <r>
    <s v="ORD01068"/>
    <d v="2025-09-26T00:00:00"/>
    <s v="CUST0063"/>
    <s v="Consumer"/>
    <s v="Laptop Pro 14"/>
    <s v="Technology"/>
    <s v="West"/>
    <n v="1"/>
    <n v="1004.58"/>
    <n v="0.2"/>
    <n v="803.66"/>
    <n v="86.03"/>
    <n v="200.91600000000003"/>
  </r>
  <r>
    <s v="ORD00822"/>
    <d v="2025-09-27T00:00:00"/>
    <s v="CUST0275"/>
    <s v="Consumer"/>
    <s v="Laptop Pro 14"/>
    <s v="Technology"/>
    <s v="East"/>
    <n v="1"/>
    <n v="990.73"/>
    <n v="0.05"/>
    <n v="941.2"/>
    <n v="235.81"/>
    <n v="49.536500000000004"/>
  </r>
  <r>
    <s v="ORD01151"/>
    <d v="2025-09-27T00:00:00"/>
    <s v="CUST0036"/>
    <s v="Corporate"/>
    <s v="Desk Lamp"/>
    <s v="Furniture"/>
    <s v="South"/>
    <n v="1"/>
    <n v="41.07"/>
    <n v="0"/>
    <n v="41.07"/>
    <n v="7.49"/>
    <n v="0"/>
  </r>
  <r>
    <s v="ORD00767"/>
    <d v="2025-09-27T00:00:00"/>
    <s v="CUST0023"/>
    <s v="Consumer"/>
    <s v="Notebook Set"/>
    <s v="Office Supplies"/>
    <s v="South"/>
    <n v="2"/>
    <n v="15.19"/>
    <n v="0"/>
    <n v="30.38"/>
    <n v="5.6"/>
    <n v="0"/>
  </r>
  <r>
    <s v="ORD00808"/>
    <d v="2025-09-27T00:00:00"/>
    <s v="CUST0213"/>
    <s v="Consumer"/>
    <s v="Wireless Mouse"/>
    <s v="Technology"/>
    <s v="East"/>
    <n v="3"/>
    <n v="26.63"/>
    <n v="0.05"/>
    <n v="75.91"/>
    <n v="15.32"/>
    <n v="3.9945000000000004"/>
  </r>
  <r>
    <s v="ORD00112"/>
    <d v="2025-09-27T00:00:00"/>
    <s v="CUST0103"/>
    <s v="Consumer"/>
    <s v="Office Chair"/>
    <s v="Furniture"/>
    <s v="East"/>
    <n v="1"/>
    <n v="190.63"/>
    <n v="0.05"/>
    <n v="181.1"/>
    <n v="40.04"/>
    <n v="9.5314999999999994"/>
  </r>
  <r>
    <s v="ORD00733"/>
    <d v="2025-09-28T00:00:00"/>
    <s v="CUST0105"/>
    <s v="Consumer"/>
    <s v="Mechanical Keyboard"/>
    <s v="Technology"/>
    <s v="South"/>
    <n v="2"/>
    <n v="68.8"/>
    <n v="0"/>
    <n v="137.59"/>
    <n v="11.05"/>
    <n v="0"/>
  </r>
  <r>
    <s v="ORD00357"/>
    <d v="2025-09-28T00:00:00"/>
    <s v="CUST0006"/>
    <s v="Consumer"/>
    <s v="Mechanical Keyboard"/>
    <s v="Technology"/>
    <s v="North"/>
    <n v="2"/>
    <n v="71.709999999999994"/>
    <n v="0"/>
    <n v="143.43"/>
    <n v="17.440000000000001"/>
    <n v="0"/>
  </r>
  <r>
    <s v="ORD00116"/>
    <d v="2025-09-29T00:00:00"/>
    <s v="CUST0142"/>
    <s v="Consumer"/>
    <s v="Notebook Set"/>
    <s v="Office Supplies"/>
    <s v="South"/>
    <n v="1"/>
    <n v="14.06"/>
    <n v="0"/>
    <n v="14.06"/>
    <n v="3.18"/>
    <n v="0"/>
  </r>
  <r>
    <s v="ORD00702"/>
    <d v="2025-09-30T00:00:00"/>
    <s v="CUST0160"/>
    <s v="Small Business"/>
    <s v="Water Bottle"/>
    <s v="Lifestyle"/>
    <s v="South"/>
    <n v="1"/>
    <n v="20.11"/>
    <n v="0.05"/>
    <n v="19.100000000000001"/>
    <n v="4.84"/>
    <n v="1.0055000000000001"/>
  </r>
  <r>
    <s v="ORD00566"/>
    <d v="2025-09-30T00:00:00"/>
    <s v="CUST0059"/>
    <s v="Corporate"/>
    <s v="Water Bottle"/>
    <s v="Lifestyle"/>
    <s v="North"/>
    <n v="4"/>
    <n v="22.43"/>
    <n v="0"/>
    <n v="89.72"/>
    <n v="19.11"/>
    <n v="0"/>
  </r>
  <r>
    <s v="ORD00793"/>
    <d v="2025-09-30T00:00:00"/>
    <s v="CUST0271"/>
    <s v="Small Business"/>
    <s v="Laptop Pro 14"/>
    <s v="Technology"/>
    <s v="North"/>
    <n v="3"/>
    <n v="1004.97"/>
    <n v="0"/>
    <n v="3014.9"/>
    <n v="260.01"/>
    <n v="0"/>
  </r>
  <r>
    <s v="ORD01077"/>
    <d v="2025-09-30T00:00:00"/>
    <s v="CUST0227"/>
    <s v="Consumer"/>
    <s v="Backpack"/>
    <s v="Lifestyle"/>
    <s v="North"/>
    <n v="1"/>
    <n v="56.15"/>
    <n v="0.15"/>
    <n v="47.73"/>
    <n v="8.0399999999999991"/>
    <n v="8.4224999999999994"/>
  </r>
  <r>
    <s v="ORD00522"/>
    <d v="2025-09-30T00:00:00"/>
    <s v="CUST0016"/>
    <s v="Small Business"/>
    <s v="Printer Paper"/>
    <s v="Office Supplies"/>
    <s v="West"/>
    <n v="2"/>
    <n v="9.68"/>
    <n v="0.05"/>
    <n v="18.39"/>
    <n v="4.7300000000000004"/>
    <n v="0.96799999999999997"/>
  </r>
  <r>
    <s v="ORD00415"/>
    <d v="2025-09-30T00:00:00"/>
    <s v="CUST0072"/>
    <s v="Consumer"/>
    <s v="Laptop Pro 14"/>
    <s v="Technology"/>
    <s v="East"/>
    <n v="3"/>
    <n v="1028.45"/>
    <n v="0.05"/>
    <n v="2931.08"/>
    <n v="540.1"/>
    <n v="154.26750000000004"/>
  </r>
  <r>
    <s v="ORD00113"/>
    <d v="2025-09-30T00:00:00"/>
    <s v="CUST0015"/>
    <s v="Consumer"/>
    <s v="Notebook Set"/>
    <s v="Office Supplies"/>
    <s v="North"/>
    <n v="1"/>
    <n v="13.55"/>
    <n v="0.1"/>
    <n v="12.2"/>
    <n v="2.5499999999999998"/>
    <n v="1.3550000000000002"/>
  </r>
  <r>
    <s v="ORD00599"/>
    <d v="2025-10-01T00:00:00"/>
    <s v="CUST0087"/>
    <s v="Small Business"/>
    <s v="Standing Desk"/>
    <s v="Furniture"/>
    <s v="North"/>
    <n v="2"/>
    <n v="314.5"/>
    <n v="0"/>
    <n v="628.99"/>
    <n v="104.67"/>
    <n v="0"/>
  </r>
  <r>
    <s v="ORD00881"/>
    <d v="2025-10-01T00:00:00"/>
    <s v="CUST0061"/>
    <s v="Consumer"/>
    <s v="Desk Lamp"/>
    <s v="Furniture"/>
    <s v="East"/>
    <n v="2"/>
    <n v="37.799999999999997"/>
    <n v="0"/>
    <n v="75.599999999999994"/>
    <n v="7.97"/>
    <n v="0"/>
  </r>
  <r>
    <s v="ORD00304"/>
    <d v="2025-10-01T00:00:00"/>
    <s v="CUST0273"/>
    <s v="Consumer"/>
    <s v="Mechanical Keyboard"/>
    <s v="Technology"/>
    <s v="North"/>
    <n v="1"/>
    <n v="79.94"/>
    <n v="0"/>
    <n v="79.94"/>
    <n v="18.100000000000001"/>
    <n v="0"/>
  </r>
  <r>
    <s v="ORD01175"/>
    <d v="2025-10-02T00:00:00"/>
    <s v="CUST0015"/>
    <s v="Small Business"/>
    <s v="Office Chair"/>
    <s v="Furniture"/>
    <s v="North"/>
    <n v="2"/>
    <n v="163.58000000000001"/>
    <n v="0.1"/>
    <n v="294.44"/>
    <n v="50.77"/>
    <n v="32.716000000000001"/>
  </r>
  <r>
    <s v="ORD00241"/>
    <d v="2025-10-02T00:00:00"/>
    <s v="CUST0089"/>
    <s v="Corporate"/>
    <s v="24-inch Monitor"/>
    <s v="Technology"/>
    <s v="North"/>
    <n v="2"/>
    <n v="199.16"/>
    <n v="0"/>
    <n v="398.32"/>
    <n v="32.85"/>
    <n v="0"/>
  </r>
  <r>
    <s v="ORD00704"/>
    <d v="2025-10-02T00:00:00"/>
    <s v="CUST0295"/>
    <s v="Corporate"/>
    <s v="Mechanical Keyboard"/>
    <s v="Technology"/>
    <s v="South"/>
    <n v="1"/>
    <n v="74.87"/>
    <n v="0"/>
    <n v="74.87"/>
    <n v="20.22"/>
    <n v="0"/>
  </r>
  <r>
    <s v="ORD01045"/>
    <d v="2025-10-02T00:00:00"/>
    <s v="CUST0067"/>
    <s v="Small Business"/>
    <s v="Standing Desk"/>
    <s v="Furniture"/>
    <s v="North"/>
    <n v="5"/>
    <n v="342.43"/>
    <n v="0.15"/>
    <n v="1455.34"/>
    <n v="139.6"/>
    <n v="256.82249999999999"/>
  </r>
  <r>
    <s v="ORD01003"/>
    <d v="2025-10-03T00:00:00"/>
    <s v="CUST0146"/>
    <s v="Consumer"/>
    <s v="Water Bottle"/>
    <s v="Lifestyle"/>
    <s v="South"/>
    <n v="2"/>
    <n v="23.5"/>
    <n v="0"/>
    <n v="47"/>
    <n v="8.59"/>
    <n v="0"/>
  </r>
  <r>
    <s v="ORD00373"/>
    <d v="2025-10-03T00:00:00"/>
    <s v="CUST0050"/>
    <s v="Consumer"/>
    <s v="Mechanical Keyboard"/>
    <s v="Technology"/>
    <s v="West"/>
    <n v="1"/>
    <n v="77"/>
    <n v="0.1"/>
    <n v="69.3"/>
    <n v="10.55"/>
    <n v="7.7"/>
  </r>
  <r>
    <s v="ORD00692"/>
    <d v="2025-10-03T00:00:00"/>
    <s v="CUST0031"/>
    <s v="Consumer"/>
    <s v="File Organizer"/>
    <s v="Office Supplies"/>
    <s v="East"/>
    <n v="4"/>
    <n v="16.95"/>
    <n v="0.15"/>
    <n v="57.64"/>
    <n v="2.81"/>
    <n v="10.17"/>
  </r>
  <r>
    <s v="ORD01110"/>
    <d v="2025-10-03T00:00:00"/>
    <s v="CUST0120"/>
    <s v="Corporate"/>
    <s v="24-inch Monitor"/>
    <s v="Technology"/>
    <s v="South"/>
    <n v="2"/>
    <n v="229.69"/>
    <n v="0.05"/>
    <n v="436.4"/>
    <n v="37.82"/>
    <n v="22.969000000000001"/>
  </r>
  <r>
    <s v="ORD00394"/>
    <d v="2025-10-03T00:00:00"/>
    <s v="CUST0109"/>
    <s v="Consumer"/>
    <s v="24-inch Monitor"/>
    <s v="Technology"/>
    <s v="West"/>
    <n v="2"/>
    <n v="192.94"/>
    <n v="0.05"/>
    <n v="366.58"/>
    <n v="59.69"/>
    <n v="19.294"/>
  </r>
  <r>
    <s v="ORD00503"/>
    <d v="2025-10-03T00:00:00"/>
    <s v="CUST0246"/>
    <s v="Consumer"/>
    <s v="Standing Desk"/>
    <s v="Furniture"/>
    <s v="West"/>
    <n v="3"/>
    <n v="341.73"/>
    <n v="0.1"/>
    <n v="922.67"/>
    <n v="94.45"/>
    <n v="102.51900000000001"/>
  </r>
  <r>
    <s v="ORD00687"/>
    <d v="2025-10-03T00:00:00"/>
    <s v="CUST0217"/>
    <s v="Consumer"/>
    <s v="Printer Paper"/>
    <s v="Office Supplies"/>
    <s v="South"/>
    <n v="3"/>
    <n v="9.33"/>
    <n v="0"/>
    <n v="27.99"/>
    <n v="7.12"/>
    <n v="0"/>
  </r>
  <r>
    <s v="ORD01009"/>
    <d v="2025-10-04T00:00:00"/>
    <s v="CUST0027"/>
    <s v="Small Business"/>
    <s v="Standing Desk"/>
    <s v="Furniture"/>
    <s v="West"/>
    <n v="3"/>
    <n v="303.5"/>
    <n v="0.15"/>
    <n v="773.93"/>
    <n v="76.92"/>
    <n v="136.57499999999999"/>
  </r>
  <r>
    <s v="ORD00169"/>
    <d v="2025-10-04T00:00:00"/>
    <s v="CUST0049"/>
    <s v="Small Business"/>
    <s v="Standing Desk"/>
    <s v="Furniture"/>
    <s v="East"/>
    <n v="2"/>
    <n v="320.81"/>
    <n v="0"/>
    <n v="641.62"/>
    <n v="167.58"/>
    <n v="0"/>
  </r>
  <r>
    <s v="ORD00409"/>
    <d v="2025-10-04T00:00:00"/>
    <s v="CUST0227"/>
    <s v="Corporate"/>
    <s v="Notebook Set"/>
    <s v="Office Supplies"/>
    <s v="North"/>
    <n v="4"/>
    <n v="14.65"/>
    <n v="0"/>
    <n v="58.61"/>
    <n v="12.41"/>
    <n v="0"/>
  </r>
  <r>
    <s v="ORD01191"/>
    <d v="2025-10-04T00:00:00"/>
    <s v="CUST0261"/>
    <s v="Consumer"/>
    <s v="Backpack"/>
    <s v="Lifestyle"/>
    <s v="South"/>
    <n v="1"/>
    <n v="49.97"/>
    <n v="0"/>
    <n v="49.97"/>
    <n v="12.69"/>
    <n v="0"/>
  </r>
  <r>
    <s v="ORD00375"/>
    <d v="2025-10-04T00:00:00"/>
    <s v="CUST0260"/>
    <s v="Corporate"/>
    <s v="Backpack"/>
    <s v="Lifestyle"/>
    <s v="South"/>
    <n v="3"/>
    <n v="52.53"/>
    <n v="0.1"/>
    <n v="141.83000000000001"/>
    <n v="12.3"/>
    <n v="15.759"/>
  </r>
  <r>
    <s v="ORD00311"/>
    <d v="2025-10-05T00:00:00"/>
    <s v="CUST0109"/>
    <s v="Consumer"/>
    <s v="Wireless Mouse"/>
    <s v="Technology"/>
    <s v="East"/>
    <n v="2"/>
    <n v="28.35"/>
    <n v="0.1"/>
    <n v="51.04"/>
    <n v="7.43"/>
    <n v="5.6700000000000008"/>
  </r>
  <r>
    <s v="ORD00200"/>
    <d v="2025-10-05T00:00:00"/>
    <s v="CUST0119"/>
    <s v="Consumer"/>
    <s v="24-inch Monitor"/>
    <s v="Technology"/>
    <s v="North"/>
    <n v="1"/>
    <n v="216.12"/>
    <n v="0.15"/>
    <n v="183.71"/>
    <n v="17.7"/>
    <n v="32.417999999999999"/>
  </r>
  <r>
    <s v="ORD00395"/>
    <d v="2025-10-06T00:00:00"/>
    <s v="CUST0002"/>
    <s v="Consumer"/>
    <s v="Notebook Set"/>
    <s v="Office Supplies"/>
    <s v="North"/>
    <n v="4"/>
    <n v="13.91"/>
    <n v="0.05"/>
    <n v="52.84"/>
    <n v="11.81"/>
    <n v="2.782"/>
  </r>
  <r>
    <s v="ORD00367"/>
    <d v="2025-10-06T00:00:00"/>
    <s v="CUST0070"/>
    <s v="Consumer"/>
    <s v="Desk Lamp"/>
    <s v="Furniture"/>
    <s v="North"/>
    <n v="3"/>
    <n v="41.43"/>
    <n v="0.05"/>
    <n v="118.08"/>
    <n v="9.07"/>
    <n v="6.2145000000000001"/>
  </r>
  <r>
    <s v="ORD00028"/>
    <d v="2025-10-07T00:00:00"/>
    <s v="CUST0128"/>
    <s v="Corporate"/>
    <s v="Laptop Pro 14"/>
    <s v="Technology"/>
    <s v="East"/>
    <n v="5"/>
    <n v="913.08"/>
    <n v="0"/>
    <n v="4565.41"/>
    <n v="539.54999999999995"/>
    <n v="0"/>
  </r>
  <r>
    <s v="ORD00135"/>
    <d v="2025-10-07T00:00:00"/>
    <s v="CUST0027"/>
    <s v="Consumer"/>
    <s v="Backpack"/>
    <s v="Lifestyle"/>
    <s v="East"/>
    <n v="2"/>
    <n v="51.74"/>
    <n v="0"/>
    <n v="103.48"/>
    <n v="10.17"/>
    <n v="0"/>
  </r>
  <r>
    <s v="ORD00314"/>
    <d v="2025-10-07T00:00:00"/>
    <s v="CUST0181"/>
    <s v="Consumer"/>
    <s v="Water Bottle"/>
    <s v="Lifestyle"/>
    <s v="West"/>
    <n v="3"/>
    <n v="22.68"/>
    <n v="0.1"/>
    <n v="61.24"/>
    <n v="5.03"/>
    <n v="6.8039999999999994"/>
  </r>
  <r>
    <s v="ORD00555"/>
    <d v="2025-10-07T00:00:00"/>
    <s v="CUST0090"/>
    <s v="Corporate"/>
    <s v="Wireless Mouse"/>
    <s v="Technology"/>
    <s v="North"/>
    <n v="4"/>
    <n v="28.26"/>
    <n v="0.1"/>
    <n v="101.74"/>
    <n v="11.17"/>
    <n v="11.304000000000002"/>
  </r>
  <r>
    <s v="ORD00427"/>
    <d v="2025-10-08T00:00:00"/>
    <s v="CUST0127"/>
    <s v="Corporate"/>
    <s v="Backpack"/>
    <s v="Lifestyle"/>
    <s v="North"/>
    <n v="2"/>
    <n v="57.47"/>
    <n v="0.1"/>
    <n v="103.44"/>
    <n v="20.48"/>
    <n v="11.494"/>
  </r>
  <r>
    <s v="ORD00787"/>
    <d v="2025-10-09T00:00:00"/>
    <s v="CUST0164"/>
    <s v="Small Business"/>
    <s v="Laptop Pro 14"/>
    <s v="Technology"/>
    <s v="West"/>
    <n v="4"/>
    <n v="1026.75"/>
    <n v="0"/>
    <n v="4107"/>
    <n v="591.95000000000005"/>
    <n v="0"/>
  </r>
  <r>
    <s v="ORD00557"/>
    <d v="2025-10-09T00:00:00"/>
    <s v="CUST0169"/>
    <s v="Consumer"/>
    <s v="File Organizer"/>
    <s v="Office Supplies"/>
    <s v="East"/>
    <n v="2"/>
    <n v="17.66"/>
    <n v="0.1"/>
    <n v="31.79"/>
    <n v="7.35"/>
    <n v="3.532"/>
  </r>
  <r>
    <s v="ORD00809"/>
    <d v="2025-10-09T00:00:00"/>
    <s v="CUST0147"/>
    <s v="Corporate"/>
    <s v="Printer Paper"/>
    <s v="Office Supplies"/>
    <s v="South"/>
    <n v="2"/>
    <n v="8.6199999999999992"/>
    <n v="0"/>
    <n v="17.25"/>
    <n v="4.7699999999999996"/>
    <n v="0"/>
  </r>
  <r>
    <s v="ORD01137"/>
    <d v="2025-10-10T00:00:00"/>
    <s v="CUST0170"/>
    <s v="Corporate"/>
    <s v="24-inch Monitor"/>
    <s v="Technology"/>
    <s v="East"/>
    <n v="1"/>
    <n v="192.46"/>
    <n v="0.05"/>
    <n v="182.84"/>
    <n v="35.29"/>
    <n v="9.6230000000000011"/>
  </r>
  <r>
    <s v="ORD00672"/>
    <d v="2025-10-10T00:00:00"/>
    <s v="CUST0274"/>
    <s v="Consumer"/>
    <s v="Wireless Mouse"/>
    <s v="Technology"/>
    <s v="North"/>
    <n v="1"/>
    <n v="25.21"/>
    <n v="0.2"/>
    <n v="20.170000000000002"/>
    <n v="3.5"/>
    <n v="5.0420000000000007"/>
  </r>
  <r>
    <s v="ORD00551"/>
    <d v="2025-10-10T00:00:00"/>
    <s v="CUST0287"/>
    <s v="Corporate"/>
    <s v="File Organizer"/>
    <s v="Office Supplies"/>
    <s v="South"/>
    <n v="1"/>
    <n v="16.63"/>
    <n v="0.05"/>
    <n v="15.8"/>
    <n v="1.25"/>
    <n v="0.83150000000000002"/>
  </r>
  <r>
    <s v="ORD00014"/>
    <d v="2025-10-11T00:00:00"/>
    <s v="CUST0283"/>
    <s v="Consumer"/>
    <s v="Backpack"/>
    <s v="Lifestyle"/>
    <s v="North"/>
    <n v="4"/>
    <n v="50.84"/>
    <n v="0"/>
    <n v="203.37"/>
    <n v="30.76"/>
    <n v="0"/>
  </r>
  <r>
    <s v="ORD00739"/>
    <d v="2025-10-11T00:00:00"/>
    <s v="CUST0197"/>
    <s v="Corporate"/>
    <s v="File Organizer"/>
    <s v="Office Supplies"/>
    <s v="South"/>
    <n v="3"/>
    <n v="19.649999999999999"/>
    <n v="0.1"/>
    <n v="53.05"/>
    <n v="11.74"/>
    <n v="5.8949999999999996"/>
  </r>
  <r>
    <s v="ORD00335"/>
    <d v="2025-10-11T00:00:00"/>
    <s v="CUST0106"/>
    <s v="Corporate"/>
    <s v="Laptop Pro 14"/>
    <s v="Technology"/>
    <s v="North"/>
    <n v="1"/>
    <n v="1036.94"/>
    <n v="0.05"/>
    <n v="985.09"/>
    <n v="143.83000000000001"/>
    <n v="51.847000000000008"/>
  </r>
  <r>
    <s v="ORD00258"/>
    <d v="2025-10-11T00:00:00"/>
    <s v="CUST0288"/>
    <s v="Consumer"/>
    <s v="Office Chair"/>
    <s v="Furniture"/>
    <s v="East"/>
    <n v="3"/>
    <n v="173.03"/>
    <n v="0"/>
    <n v="519.08000000000004"/>
    <n v="123.44"/>
    <n v="0"/>
  </r>
  <r>
    <s v="ORD00622"/>
    <d v="2025-10-12T00:00:00"/>
    <s v="CUST0176"/>
    <s v="Consumer"/>
    <s v="Standing Desk"/>
    <s v="Furniture"/>
    <s v="North"/>
    <n v="2"/>
    <n v="325.04000000000002"/>
    <n v="0"/>
    <n v="650.07000000000005"/>
    <n v="96.44"/>
    <n v="0"/>
  </r>
  <r>
    <s v="ORD01143"/>
    <d v="2025-10-12T00:00:00"/>
    <s v="CUST0244"/>
    <s v="Consumer"/>
    <s v="Standing Desk"/>
    <s v="Furniture"/>
    <s v="South"/>
    <n v="1"/>
    <n v="328.62"/>
    <n v="0.05"/>
    <n v="312.19"/>
    <n v="27.73"/>
    <n v="16.431000000000001"/>
  </r>
  <r>
    <s v="ORD00811"/>
    <d v="2025-10-12T00:00:00"/>
    <s v="CUST0077"/>
    <s v="Small Business"/>
    <s v="Office Chair"/>
    <s v="Furniture"/>
    <s v="North"/>
    <n v="2"/>
    <n v="179.9"/>
    <n v="0.05"/>
    <n v="341.81"/>
    <n v="70.37"/>
    <n v="17.990000000000002"/>
  </r>
  <r>
    <s v="ORD00099"/>
    <d v="2025-10-12T00:00:00"/>
    <s v="CUST0020"/>
    <s v="Small Business"/>
    <s v="Backpack"/>
    <s v="Lifestyle"/>
    <s v="East"/>
    <n v="2"/>
    <n v="58.58"/>
    <n v="0"/>
    <n v="117.15"/>
    <n v="17.88"/>
    <n v="0"/>
  </r>
  <r>
    <s v="ORD00131"/>
    <d v="2025-10-12T00:00:00"/>
    <s v="CUST0058"/>
    <s v="Consumer"/>
    <s v="Backpack"/>
    <s v="Lifestyle"/>
    <s v="East"/>
    <n v="3"/>
    <n v="49.74"/>
    <n v="0"/>
    <n v="149.22999999999999"/>
    <n v="21.6"/>
    <n v="0"/>
  </r>
  <r>
    <s v="ORD00274"/>
    <d v="2025-10-13T00:00:00"/>
    <s v="CUST0292"/>
    <s v="Small Business"/>
    <s v="Printer Paper"/>
    <s v="Office Supplies"/>
    <s v="West"/>
    <n v="1"/>
    <n v="8.26"/>
    <n v="0.2"/>
    <n v="6.61"/>
    <n v="0.32"/>
    <n v="1.6520000000000001"/>
  </r>
  <r>
    <s v="ORD01037"/>
    <d v="2025-10-13T00:00:00"/>
    <s v="CUST0159"/>
    <s v="Corporate"/>
    <s v="Wireless Mouse"/>
    <s v="Technology"/>
    <s v="North"/>
    <n v="1"/>
    <n v="29.6"/>
    <n v="0.05"/>
    <n v="28.12"/>
    <n v="6.82"/>
    <n v="1.4800000000000002"/>
  </r>
  <r>
    <s v="ORD01121"/>
    <d v="2025-10-13T00:00:00"/>
    <s v="CUST0094"/>
    <s v="Consumer"/>
    <s v="Wireless Mouse"/>
    <s v="Technology"/>
    <s v="North"/>
    <n v="4"/>
    <n v="29.57"/>
    <n v="0.2"/>
    <n v="94.63"/>
    <n v="9.02"/>
    <n v="23.656000000000002"/>
  </r>
  <r>
    <s v="ORD00665"/>
    <d v="2025-10-14T00:00:00"/>
    <s v="CUST0114"/>
    <s v="Corporate"/>
    <s v="Laptop Pro 14"/>
    <s v="Technology"/>
    <s v="West"/>
    <n v="1"/>
    <n v="909.09"/>
    <n v="0"/>
    <n v="909.09"/>
    <n v="141.09"/>
    <n v="0"/>
  </r>
  <r>
    <s v="ORD00775"/>
    <d v="2025-10-14T00:00:00"/>
    <s v="CUST0271"/>
    <s v="Corporate"/>
    <s v="Desk Lamp"/>
    <s v="Furniture"/>
    <s v="East"/>
    <n v="2"/>
    <n v="42.6"/>
    <n v="0.05"/>
    <n v="80.94"/>
    <n v="6.24"/>
    <n v="4.2600000000000007"/>
  </r>
  <r>
    <s v="ORD00449"/>
    <d v="2025-10-15T00:00:00"/>
    <s v="CUST0206"/>
    <s v="Consumer"/>
    <s v="Backpack"/>
    <s v="Lifestyle"/>
    <s v="West"/>
    <n v="2"/>
    <n v="59.34"/>
    <n v="0"/>
    <n v="118.67"/>
    <n v="24.8"/>
    <n v="0"/>
  </r>
  <r>
    <s v="ORD00179"/>
    <d v="2025-10-15T00:00:00"/>
    <s v="CUST0258"/>
    <s v="Corporate"/>
    <s v="Laptop Pro 14"/>
    <s v="Technology"/>
    <s v="East"/>
    <n v="1"/>
    <n v="877.35"/>
    <n v="0"/>
    <n v="877.35"/>
    <n v="110.08"/>
    <n v="0"/>
  </r>
  <r>
    <s v="ORD00336"/>
    <d v="2025-10-15T00:00:00"/>
    <s v="CUST0271"/>
    <s v="Consumer"/>
    <s v="Standing Desk"/>
    <s v="Furniture"/>
    <s v="West"/>
    <n v="1"/>
    <n v="303.11"/>
    <n v="0.05"/>
    <n v="287.95999999999998"/>
    <n v="62"/>
    <n v="15.155500000000002"/>
  </r>
  <r>
    <s v="ORD00843"/>
    <d v="2025-10-15T00:00:00"/>
    <s v="CUST0250"/>
    <s v="Consumer"/>
    <s v="Standing Desk"/>
    <s v="Furniture"/>
    <s v="South"/>
    <n v="3"/>
    <n v="343.78"/>
    <n v="0.05"/>
    <n v="979.77"/>
    <n v="117.43"/>
    <n v="51.567"/>
  </r>
  <r>
    <s v="ORD00145"/>
    <d v="2025-10-15T00:00:00"/>
    <s v="CUST0243"/>
    <s v="Consumer"/>
    <s v="Mechanical Keyboard"/>
    <s v="Technology"/>
    <s v="North"/>
    <n v="2"/>
    <n v="75.64"/>
    <n v="0"/>
    <n v="151.27000000000001"/>
    <n v="27.03"/>
    <n v="0"/>
  </r>
  <r>
    <s v="ORD00821"/>
    <d v="2025-10-16T00:00:00"/>
    <s v="CUST0184"/>
    <s v="Consumer"/>
    <s v="Desk Lamp"/>
    <s v="Furniture"/>
    <s v="South"/>
    <n v="3"/>
    <n v="43.96"/>
    <n v="0"/>
    <n v="131.88"/>
    <n v="13.03"/>
    <n v="0"/>
  </r>
  <r>
    <s v="ORD00073"/>
    <d v="2025-10-16T00:00:00"/>
    <s v="CUST0137"/>
    <s v="Consumer"/>
    <s v="Office Chair"/>
    <s v="Furniture"/>
    <s v="North"/>
    <n v="1"/>
    <n v="168.72"/>
    <n v="0"/>
    <n v="168.72"/>
    <n v="23.12"/>
    <n v="0"/>
  </r>
  <r>
    <s v="ORD00756"/>
    <d v="2025-10-16T00:00:00"/>
    <s v="CUST0271"/>
    <s v="Small Business"/>
    <s v="Water Bottle"/>
    <s v="Lifestyle"/>
    <s v="West"/>
    <n v="2"/>
    <n v="23.77"/>
    <n v="0.1"/>
    <n v="42.79"/>
    <n v="9.7899999999999991"/>
    <n v="4.7540000000000004"/>
  </r>
  <r>
    <s v="ORD00260"/>
    <d v="2025-10-17T00:00:00"/>
    <s v="CUST0126"/>
    <s v="Corporate"/>
    <s v="Notebook Set"/>
    <s v="Office Supplies"/>
    <s v="North"/>
    <n v="1"/>
    <n v="15.25"/>
    <n v="0.1"/>
    <n v="13.73"/>
    <n v="1.72"/>
    <n v="1.5250000000000001"/>
  </r>
  <r>
    <s v="ORD00678"/>
    <d v="2025-10-17T00:00:00"/>
    <s v="CUST0281"/>
    <s v="Corporate"/>
    <s v="File Organizer"/>
    <s v="Office Supplies"/>
    <s v="East"/>
    <n v="2"/>
    <n v="16.88"/>
    <n v="0"/>
    <n v="33.75"/>
    <n v="2.77"/>
    <n v="0"/>
  </r>
  <r>
    <s v="ORD00741"/>
    <d v="2025-10-17T00:00:00"/>
    <s v="CUST0072"/>
    <s v="Corporate"/>
    <s v="Water Bottle"/>
    <s v="Lifestyle"/>
    <s v="West"/>
    <n v="1"/>
    <n v="22.08"/>
    <n v="0"/>
    <n v="22.08"/>
    <n v="2.3199999999999998"/>
    <n v="0"/>
  </r>
  <r>
    <s v="ORD00166"/>
    <d v="2025-10-17T00:00:00"/>
    <s v="CUST0146"/>
    <s v="Consumer"/>
    <s v="24-inch Monitor"/>
    <s v="Technology"/>
    <s v="South"/>
    <n v="1"/>
    <n v="211.64"/>
    <n v="0.1"/>
    <n v="190.48"/>
    <n v="22.5"/>
    <n v="21.164000000000001"/>
  </r>
  <r>
    <s v="ORD01136"/>
    <d v="2025-10-17T00:00:00"/>
    <s v="CUST0275"/>
    <s v="Small Business"/>
    <s v="Wireless Mouse"/>
    <s v="Technology"/>
    <s v="East"/>
    <n v="3"/>
    <n v="27.79"/>
    <n v="0"/>
    <n v="83.36"/>
    <n v="21.85"/>
    <n v="0"/>
  </r>
  <r>
    <s v="ORD00807"/>
    <d v="2025-10-18T00:00:00"/>
    <s v="CUST0241"/>
    <s v="Small Business"/>
    <s v="Office Chair"/>
    <s v="Furniture"/>
    <s v="South"/>
    <n v="4"/>
    <n v="192.99"/>
    <n v="0.05"/>
    <n v="733.36"/>
    <n v="53.77"/>
    <n v="38.598000000000006"/>
  </r>
  <r>
    <s v="ORD01173"/>
    <d v="2025-10-18T00:00:00"/>
    <s v="CUST0004"/>
    <s v="Corporate"/>
    <s v="Mechanical Keyboard"/>
    <s v="Technology"/>
    <s v="West"/>
    <n v="2"/>
    <n v="78"/>
    <n v="0.15"/>
    <n v="132.61000000000001"/>
    <n v="11.69"/>
    <n v="23.4"/>
  </r>
  <r>
    <s v="ORD00689"/>
    <d v="2025-10-18T00:00:00"/>
    <s v="CUST0093"/>
    <s v="Small Business"/>
    <s v="24-inch Monitor"/>
    <s v="Technology"/>
    <s v="East"/>
    <n v="2"/>
    <n v="200.49"/>
    <n v="0"/>
    <n v="400.99"/>
    <n v="110.67"/>
    <n v="0"/>
  </r>
  <r>
    <s v="ORD00425"/>
    <d v="2025-10-18T00:00:00"/>
    <s v="CUST0270"/>
    <s v="Consumer"/>
    <s v="Standing Desk"/>
    <s v="Furniture"/>
    <s v="North"/>
    <n v="2"/>
    <n v="348.49"/>
    <n v="0.05"/>
    <n v="662.14"/>
    <n v="179.17"/>
    <n v="34.849000000000004"/>
  </r>
  <r>
    <s v="ORD00655"/>
    <d v="2025-10-19T00:00:00"/>
    <s v="CUST0060"/>
    <s v="Consumer"/>
    <s v="Laptop Pro 14"/>
    <s v="Technology"/>
    <s v="East"/>
    <n v="3"/>
    <n v="879.09"/>
    <n v="0.15"/>
    <n v="2241.69"/>
    <n v="487.49"/>
    <n v="395.59049999999996"/>
  </r>
  <r>
    <s v="ORD00507"/>
    <d v="2025-10-19T00:00:00"/>
    <s v="CUST0222"/>
    <s v="Consumer"/>
    <s v="Desk Lamp"/>
    <s v="Furniture"/>
    <s v="South"/>
    <n v="5"/>
    <n v="44.31"/>
    <n v="0"/>
    <n v="221.57"/>
    <n v="35.15"/>
    <n v="0"/>
  </r>
  <r>
    <s v="ORD00432"/>
    <d v="2025-10-19T00:00:00"/>
    <s v="CUST0270"/>
    <s v="Consumer"/>
    <s v="Office Chair"/>
    <s v="Furniture"/>
    <s v="North"/>
    <n v="1"/>
    <n v="184.55"/>
    <n v="0"/>
    <n v="184.55"/>
    <n v="25.37"/>
    <n v="0"/>
  </r>
  <r>
    <s v="ORD00621"/>
    <d v="2025-10-19T00:00:00"/>
    <s v="CUST0039"/>
    <s v="Consumer"/>
    <s v="24-inch Monitor"/>
    <s v="Technology"/>
    <s v="West"/>
    <n v="2"/>
    <n v="217.44"/>
    <n v="0.05"/>
    <n v="413.13"/>
    <n v="84.41"/>
    <n v="21.744"/>
  </r>
  <r>
    <s v="ORD00088"/>
    <d v="2025-10-20T00:00:00"/>
    <s v="CUST0267"/>
    <s v="Corporate"/>
    <s v="Notebook Set"/>
    <s v="Office Supplies"/>
    <s v="East"/>
    <n v="1"/>
    <n v="12.82"/>
    <n v="0"/>
    <n v="12.82"/>
    <n v="1.29"/>
    <n v="0"/>
  </r>
  <r>
    <s v="ORD00383"/>
    <d v="2025-10-20T00:00:00"/>
    <s v="CUST0060"/>
    <s v="Consumer"/>
    <s v="Printer Paper"/>
    <s v="Office Supplies"/>
    <s v="West"/>
    <n v="1"/>
    <n v="8.69"/>
    <n v="0.1"/>
    <n v="7.82"/>
    <n v="0.95"/>
    <n v="0.86899999999999999"/>
  </r>
  <r>
    <s v="ORD00085"/>
    <d v="2025-10-21T00:00:00"/>
    <s v="CUST0095"/>
    <s v="Corporate"/>
    <s v="24-inch Monitor"/>
    <s v="Technology"/>
    <s v="South"/>
    <n v="2"/>
    <n v="209.43"/>
    <n v="0.05"/>
    <n v="397.91"/>
    <n v="59.09"/>
    <n v="20.943000000000001"/>
  </r>
  <r>
    <s v="ORD00070"/>
    <d v="2025-10-21T00:00:00"/>
    <s v="CUST0126"/>
    <s v="Consumer"/>
    <s v="Mechanical Keyboard"/>
    <s v="Technology"/>
    <s v="South"/>
    <n v="3"/>
    <n v="75.959999999999994"/>
    <n v="0"/>
    <n v="227.88"/>
    <n v="56.55"/>
    <n v="0"/>
  </r>
  <r>
    <s v="ORD00250"/>
    <d v="2025-10-22T00:00:00"/>
    <s v="CUST0017"/>
    <s v="Consumer"/>
    <s v="Office Chair"/>
    <s v="Furniture"/>
    <s v="South"/>
    <n v="2"/>
    <n v="172"/>
    <n v="0"/>
    <n v="344"/>
    <n v="83.71"/>
    <n v="0"/>
  </r>
  <r>
    <s v="ORD00772"/>
    <d v="2025-10-22T00:00:00"/>
    <s v="CUST0231"/>
    <s v="Small Business"/>
    <s v="Backpack"/>
    <s v="Lifestyle"/>
    <s v="East"/>
    <n v="2"/>
    <n v="55.19"/>
    <n v="0"/>
    <n v="110.38"/>
    <n v="28.88"/>
    <n v="0"/>
  </r>
  <r>
    <s v="ORD00441"/>
    <d v="2025-10-23T00:00:00"/>
    <s v="CUST0182"/>
    <s v="Small Business"/>
    <s v="Wireless Mouse"/>
    <s v="Technology"/>
    <s v="East"/>
    <n v="1"/>
    <n v="28.53"/>
    <n v="0.1"/>
    <n v="25.67"/>
    <n v="4.5"/>
    <n v="2.8530000000000002"/>
  </r>
  <r>
    <s v="ORD00339"/>
    <d v="2025-10-23T00:00:00"/>
    <s v="CUST0038"/>
    <s v="Corporate"/>
    <s v="Water Bottle"/>
    <s v="Lifestyle"/>
    <s v="South"/>
    <n v="2"/>
    <n v="20.16"/>
    <n v="0.1"/>
    <n v="36.28"/>
    <n v="8.81"/>
    <n v="4.032"/>
  </r>
  <r>
    <s v="ORD00618"/>
    <d v="2025-10-24T00:00:00"/>
    <s v="CUST0002"/>
    <s v="Small Business"/>
    <s v="File Organizer"/>
    <s v="Office Supplies"/>
    <s v="North"/>
    <n v="2"/>
    <n v="19.36"/>
    <n v="0"/>
    <n v="38.729999999999997"/>
    <n v="4.62"/>
    <n v="0"/>
  </r>
  <r>
    <s v="ORD01122"/>
    <d v="2025-10-24T00:00:00"/>
    <s v="CUST0068"/>
    <s v="Small Business"/>
    <s v="Printer Paper"/>
    <s v="Office Supplies"/>
    <s v="East"/>
    <n v="2"/>
    <n v="9.77"/>
    <n v="0.05"/>
    <n v="18.559999999999999"/>
    <n v="3.21"/>
    <n v="0.97699999999999998"/>
  </r>
  <r>
    <s v="ORD00168"/>
    <d v="2025-10-25T00:00:00"/>
    <s v="CUST0118"/>
    <s v="Corporate"/>
    <s v="Notebook Set"/>
    <s v="Office Supplies"/>
    <s v="West"/>
    <n v="3"/>
    <n v="12.72"/>
    <n v="0.05"/>
    <n v="36.26"/>
    <n v="6.96"/>
    <n v="1.9080000000000004"/>
  </r>
  <r>
    <s v="ORD00456"/>
    <d v="2025-10-25T00:00:00"/>
    <s v="CUST0268"/>
    <s v="Consumer"/>
    <s v="File Organizer"/>
    <s v="Office Supplies"/>
    <s v="North"/>
    <n v="2"/>
    <n v="16.510000000000002"/>
    <n v="0.05"/>
    <n v="31.37"/>
    <n v="2.61"/>
    <n v="1.6510000000000002"/>
  </r>
  <r>
    <s v="ORD00645"/>
    <d v="2025-10-26T00:00:00"/>
    <s v="CUST0029"/>
    <s v="Corporate"/>
    <s v="File Organizer"/>
    <s v="Office Supplies"/>
    <s v="North"/>
    <n v="1"/>
    <n v="19.79"/>
    <n v="0"/>
    <n v="19.79"/>
    <n v="4.9800000000000004"/>
    <n v="0"/>
  </r>
  <r>
    <s v="ORD00726"/>
    <d v="2025-10-26T00:00:00"/>
    <s v="CUST0204"/>
    <s v="Consumer"/>
    <s v="Office Chair"/>
    <s v="Furniture"/>
    <s v="South"/>
    <n v="1"/>
    <n v="169.48"/>
    <n v="0.1"/>
    <n v="152.53"/>
    <n v="32.450000000000003"/>
    <n v="16.948"/>
  </r>
  <r>
    <s v="ORD00071"/>
    <d v="2025-10-27T00:00:00"/>
    <s v="CUST0034"/>
    <s v="Corporate"/>
    <s v="Printer Paper"/>
    <s v="Office Supplies"/>
    <s v="West"/>
    <n v="3"/>
    <n v="9"/>
    <n v="0.1"/>
    <n v="24.29"/>
    <n v="1.81"/>
    <n v="2.7"/>
  </r>
  <r>
    <s v="ORD00266"/>
    <d v="2025-10-27T00:00:00"/>
    <s v="CUST0273"/>
    <s v="Consumer"/>
    <s v="Water Bottle"/>
    <s v="Lifestyle"/>
    <s v="East"/>
    <n v="2"/>
    <n v="21.75"/>
    <n v="0"/>
    <n v="43.51"/>
    <n v="8.93"/>
    <n v="0"/>
  </r>
  <r>
    <s v="ORD00920"/>
    <d v="2025-10-28T00:00:00"/>
    <s v="CUST0009"/>
    <s v="Corporate"/>
    <s v="Notebook Set"/>
    <s v="Office Supplies"/>
    <s v="East"/>
    <n v="2"/>
    <n v="13.04"/>
    <n v="0.1"/>
    <n v="23.46"/>
    <n v="3.19"/>
    <n v="2.6080000000000001"/>
  </r>
  <r>
    <s v="ORD00050"/>
    <d v="2025-10-28T00:00:00"/>
    <s v="CUST0126"/>
    <s v="Corporate"/>
    <s v="24-inch Monitor"/>
    <s v="Technology"/>
    <s v="South"/>
    <n v="2"/>
    <n v="218.61"/>
    <n v="0.05"/>
    <n v="415.37"/>
    <n v="49.75"/>
    <n v="21.861000000000004"/>
  </r>
  <r>
    <s v="ORD00625"/>
    <d v="2025-10-28T00:00:00"/>
    <s v="CUST0143"/>
    <s v="Consumer"/>
    <s v="File Organizer"/>
    <s v="Office Supplies"/>
    <s v="East"/>
    <n v="1"/>
    <n v="19.48"/>
    <n v="0"/>
    <n v="19.48"/>
    <n v="4.03"/>
    <n v="0"/>
  </r>
  <r>
    <s v="ORD00616"/>
    <d v="2025-10-28T00:00:00"/>
    <s v="CUST0243"/>
    <s v="Consumer"/>
    <s v="File Organizer"/>
    <s v="Office Supplies"/>
    <s v="South"/>
    <n v="4"/>
    <n v="17"/>
    <n v="0.2"/>
    <n v="54.4"/>
    <n v="3.75"/>
    <n v="13.600000000000001"/>
  </r>
  <r>
    <s v="ORD00933"/>
    <d v="2025-10-28T00:00:00"/>
    <s v="CUST0030"/>
    <s v="Consumer"/>
    <s v="Water Bottle"/>
    <s v="Lifestyle"/>
    <s v="West"/>
    <n v="1"/>
    <n v="19.809999999999999"/>
    <n v="0.05"/>
    <n v="18.82"/>
    <n v="3.13"/>
    <n v="0.99049999999999994"/>
  </r>
  <r>
    <s v="ORD00601"/>
    <d v="2025-10-28T00:00:00"/>
    <s v="CUST0038"/>
    <s v="Consumer"/>
    <s v="24-inch Monitor"/>
    <s v="Technology"/>
    <s v="East"/>
    <n v="1"/>
    <n v="199.81"/>
    <n v="0"/>
    <n v="199.81"/>
    <n v="21.41"/>
    <n v="0"/>
  </r>
  <r>
    <s v="ORD01087"/>
    <d v="2025-10-29T00:00:00"/>
    <s v="CUST0136"/>
    <s v="Corporate"/>
    <s v="Water Bottle"/>
    <s v="Lifestyle"/>
    <s v="North"/>
    <n v="2"/>
    <n v="21.69"/>
    <n v="0.05"/>
    <n v="41.21"/>
    <n v="10.76"/>
    <n v="2.169"/>
  </r>
  <r>
    <s v="ORD00796"/>
    <d v="2025-10-29T00:00:00"/>
    <s v="CUST0159"/>
    <s v="Consumer"/>
    <s v="Printer Paper"/>
    <s v="Office Supplies"/>
    <s v="North"/>
    <n v="1"/>
    <n v="9.51"/>
    <n v="0.2"/>
    <n v="7.61"/>
    <n v="1.74"/>
    <n v="1.9020000000000001"/>
  </r>
  <r>
    <s v="ORD00610"/>
    <d v="2025-10-29T00:00:00"/>
    <s v="CUST0037"/>
    <s v="Corporate"/>
    <s v="Wireless Mouse"/>
    <s v="Technology"/>
    <s v="South"/>
    <n v="1"/>
    <n v="28.46"/>
    <n v="0.1"/>
    <n v="25.62"/>
    <n v="2.5499999999999998"/>
    <n v="2.8460000000000001"/>
  </r>
  <r>
    <s v="ORD00087"/>
    <d v="2025-10-30T00:00:00"/>
    <s v="CUST0133"/>
    <s v="Consumer"/>
    <s v="File Organizer"/>
    <s v="Office Supplies"/>
    <s v="West"/>
    <n v="2"/>
    <n v="18.399999999999999"/>
    <n v="0.05"/>
    <n v="34.96"/>
    <n v="2.4300000000000002"/>
    <n v="1.8399999999999999"/>
  </r>
  <r>
    <s v="ORD01108"/>
    <d v="2025-10-30T00:00:00"/>
    <s v="CUST0079"/>
    <s v="Small Business"/>
    <s v="Notebook Set"/>
    <s v="Office Supplies"/>
    <s v="West"/>
    <n v="5"/>
    <n v="14.01"/>
    <n v="0.1"/>
    <n v="63.03"/>
    <n v="5.53"/>
    <n v="7.0049999999999999"/>
  </r>
  <r>
    <s v="ORD00057"/>
    <d v="2025-10-30T00:00:00"/>
    <s v="CUST0224"/>
    <s v="Small Business"/>
    <s v="Printer Paper"/>
    <s v="Office Supplies"/>
    <s v="South"/>
    <n v="4"/>
    <n v="8.15"/>
    <n v="0"/>
    <n v="32.590000000000003"/>
    <n v="5.0599999999999996"/>
    <n v="0"/>
  </r>
  <r>
    <s v="ORD00177"/>
    <d v="2025-10-30T00:00:00"/>
    <s v="CUST0003"/>
    <s v="Consumer"/>
    <s v="Printer Paper"/>
    <s v="Office Supplies"/>
    <s v="North"/>
    <n v="2"/>
    <n v="8.1"/>
    <n v="0.15"/>
    <n v="13.77"/>
    <n v="1.32"/>
    <n v="2.4299999999999997"/>
  </r>
  <r>
    <s v="ORD00954"/>
    <d v="2025-10-30T00:00:00"/>
    <s v="CUST0250"/>
    <s v="Consumer"/>
    <s v="Notebook Set"/>
    <s v="Office Supplies"/>
    <s v="North"/>
    <n v="1"/>
    <n v="13.56"/>
    <n v="0"/>
    <n v="13.56"/>
    <n v="3.7"/>
    <n v="0"/>
  </r>
  <r>
    <s v="ORD01177"/>
    <d v="2025-10-30T00:00:00"/>
    <s v="CUST0036"/>
    <s v="Small Business"/>
    <s v="Wireless Mouse"/>
    <s v="Technology"/>
    <s v="South"/>
    <n v="1"/>
    <n v="26.81"/>
    <n v="0.05"/>
    <n v="25.47"/>
    <n v="2.23"/>
    <n v="1.3405"/>
  </r>
  <r>
    <s v="ORD00443"/>
    <d v="2025-10-30T00:00:00"/>
    <s v="CUST0089"/>
    <s v="Consumer"/>
    <s v="Office Chair"/>
    <s v="Furniture"/>
    <s v="East"/>
    <n v="1"/>
    <n v="166.08"/>
    <n v="0.1"/>
    <n v="149.47999999999999"/>
    <n v="39.11"/>
    <n v="16.608000000000001"/>
  </r>
  <r>
    <s v="ORD00212"/>
    <d v="2025-10-30T00:00:00"/>
    <s v="CUST0047"/>
    <s v="Consumer"/>
    <s v="Water Bottle"/>
    <s v="Lifestyle"/>
    <s v="East"/>
    <n v="1"/>
    <n v="21.98"/>
    <n v="0.1"/>
    <n v="19.78"/>
    <n v="1.79"/>
    <n v="2.198"/>
  </r>
  <r>
    <s v="ORD00094"/>
    <d v="2025-11-01T00:00:00"/>
    <s v="CUST0132"/>
    <s v="Consumer"/>
    <s v="Notebook Set"/>
    <s v="Office Supplies"/>
    <s v="East"/>
    <n v="3"/>
    <n v="14.1"/>
    <n v="0.05"/>
    <n v="40.17"/>
    <n v="6.63"/>
    <n v="2.1149999999999998"/>
  </r>
  <r>
    <s v="ORD00261"/>
    <d v="2025-11-01T00:00:00"/>
    <s v="CUST0067"/>
    <s v="Corporate"/>
    <s v="Laptop Pro 14"/>
    <s v="Technology"/>
    <s v="East"/>
    <n v="1"/>
    <n v="1042.73"/>
    <n v="0"/>
    <n v="1042.73"/>
    <n v="178.1"/>
    <n v="0"/>
  </r>
  <r>
    <s v="ORD00880"/>
    <d v="2025-11-02T00:00:00"/>
    <s v="CUST0112"/>
    <s v="Small Business"/>
    <s v="File Organizer"/>
    <s v="Office Supplies"/>
    <s v="South"/>
    <n v="3"/>
    <n v="17.21"/>
    <n v="0.05"/>
    <n v="49.05"/>
    <n v="10.64"/>
    <n v="2.5815000000000001"/>
  </r>
  <r>
    <s v="ORD00742"/>
    <d v="2025-11-02T00:00:00"/>
    <s v="CUST0277"/>
    <s v="Small Business"/>
    <s v="Office Chair"/>
    <s v="Furniture"/>
    <s v="South"/>
    <n v="1"/>
    <n v="165.82"/>
    <n v="0.05"/>
    <n v="157.53"/>
    <n v="32.200000000000003"/>
    <n v="8.2910000000000004"/>
  </r>
  <r>
    <s v="ORD00156"/>
    <d v="2025-11-02T00:00:00"/>
    <s v="CUST0234"/>
    <s v="Consumer"/>
    <s v="Printer Paper"/>
    <s v="Office Supplies"/>
    <s v="East"/>
    <n v="2"/>
    <n v="9.06"/>
    <n v="0"/>
    <n v="18.12"/>
    <n v="1.91"/>
    <n v="0"/>
  </r>
  <r>
    <s v="ORD00227"/>
    <d v="2025-11-03T00:00:00"/>
    <s v="CUST0047"/>
    <s v="Corporate"/>
    <s v="Water Bottle"/>
    <s v="Lifestyle"/>
    <s v="North"/>
    <n v="1"/>
    <n v="22.34"/>
    <n v="0.1"/>
    <n v="20.11"/>
    <n v="3.62"/>
    <n v="2.234"/>
  </r>
  <r>
    <s v="ORD00581"/>
    <d v="2025-11-03T00:00:00"/>
    <s v="CUST0209"/>
    <s v="Corporate"/>
    <s v="Notebook Set"/>
    <s v="Office Supplies"/>
    <s v="East"/>
    <n v="5"/>
    <n v="13.64"/>
    <n v="0.1"/>
    <n v="61.37"/>
    <n v="13.31"/>
    <n v="6.82"/>
  </r>
  <r>
    <s v="ORD00412"/>
    <d v="2025-11-03T00:00:00"/>
    <s v="CUST0094"/>
    <s v="Consumer"/>
    <s v="Water Bottle"/>
    <s v="Lifestyle"/>
    <s v="South"/>
    <n v="1"/>
    <n v="21.1"/>
    <n v="0.05"/>
    <n v="20.05"/>
    <n v="5.09"/>
    <n v="1.0550000000000002"/>
  </r>
  <r>
    <s v="ORD00188"/>
    <d v="2025-11-04T00:00:00"/>
    <s v="CUST0092"/>
    <s v="Consumer"/>
    <s v="24-inch Monitor"/>
    <s v="Technology"/>
    <s v="South"/>
    <n v="1"/>
    <n v="207.89"/>
    <n v="0.15"/>
    <n v="176.71"/>
    <n v="15.58"/>
    <n v="31.183499999999995"/>
  </r>
  <r>
    <s v="ORD00857"/>
    <d v="2025-11-04T00:00:00"/>
    <s v="CUST0215"/>
    <s v="Consumer"/>
    <s v="Mechanical Keyboard"/>
    <s v="Technology"/>
    <s v="East"/>
    <n v="1"/>
    <n v="68.16"/>
    <n v="0.1"/>
    <n v="61.35"/>
    <n v="16.04"/>
    <n v="6.8159999999999998"/>
  </r>
  <r>
    <s v="ORD00464"/>
    <d v="2025-11-04T00:00:00"/>
    <s v="CUST0178"/>
    <s v="Consumer"/>
    <s v="Laptop Pro 14"/>
    <s v="Technology"/>
    <s v="North"/>
    <n v="1"/>
    <n v="894.68"/>
    <n v="0.1"/>
    <n v="805.21"/>
    <n v="55.1"/>
    <n v="89.468000000000004"/>
  </r>
  <r>
    <s v="ORD00393"/>
    <d v="2025-11-04T00:00:00"/>
    <s v="CUST0114"/>
    <s v="Consumer"/>
    <s v="Printer Paper"/>
    <s v="Office Supplies"/>
    <s v="North"/>
    <n v="2"/>
    <n v="9.16"/>
    <n v="0.05"/>
    <n v="17.399999999999999"/>
    <n v="3.8"/>
    <n v="0.91600000000000004"/>
  </r>
  <r>
    <s v="ORD00090"/>
    <d v="2025-11-05T00:00:00"/>
    <s v="CUST0210"/>
    <s v="Small Business"/>
    <s v="Printer Paper"/>
    <s v="Office Supplies"/>
    <s v="North"/>
    <n v="2"/>
    <n v="8.85"/>
    <n v="0"/>
    <n v="17.690000000000001"/>
    <n v="4.47"/>
    <n v="0"/>
  </r>
  <r>
    <s v="ORD00547"/>
    <d v="2025-11-05T00:00:00"/>
    <s v="CUST0149"/>
    <s v="Small Business"/>
    <s v="24-inch Monitor"/>
    <s v="Technology"/>
    <s v="North"/>
    <n v="1"/>
    <n v="207.32"/>
    <n v="0"/>
    <n v="207.32"/>
    <n v="43.88"/>
    <n v="0"/>
  </r>
  <r>
    <s v="ORD00685"/>
    <d v="2025-11-06T00:00:00"/>
    <s v="CUST0221"/>
    <s v="Consumer"/>
    <s v="Office Chair"/>
    <s v="Furniture"/>
    <s v="South"/>
    <n v="2"/>
    <n v="175.02"/>
    <n v="0.1"/>
    <n v="315.04000000000002"/>
    <n v="50.34"/>
    <n v="35.004000000000005"/>
  </r>
  <r>
    <s v="ORD00536"/>
    <d v="2025-11-06T00:00:00"/>
    <s v="CUST0071"/>
    <s v="Consumer"/>
    <s v="Laptop Pro 14"/>
    <s v="Technology"/>
    <s v="North"/>
    <n v="3"/>
    <n v="997.3"/>
    <n v="0.05"/>
    <n v="2842.31"/>
    <n v="395.47"/>
    <n v="149.595"/>
  </r>
  <r>
    <s v="ORD00289"/>
    <d v="2025-11-06T00:00:00"/>
    <s v="CUST0003"/>
    <s v="Small Business"/>
    <s v="Notebook Set"/>
    <s v="Office Supplies"/>
    <s v="East"/>
    <n v="3"/>
    <n v="13.71"/>
    <n v="0"/>
    <n v="41.12"/>
    <n v="10.94"/>
    <n v="0"/>
  </r>
  <r>
    <s v="ORD00932"/>
    <d v="2025-11-07T00:00:00"/>
    <s v="CUST0045"/>
    <s v="Small Business"/>
    <s v="Desk Lamp"/>
    <s v="Furniture"/>
    <s v="West"/>
    <n v="2"/>
    <n v="39.020000000000003"/>
    <n v="0"/>
    <n v="78.040000000000006"/>
    <n v="17.739999999999998"/>
    <n v="0"/>
  </r>
  <r>
    <s v="ORD00656"/>
    <d v="2025-11-07T00:00:00"/>
    <s v="CUST0057"/>
    <s v="Corporate"/>
    <s v="Mechanical Keyboard"/>
    <s v="Technology"/>
    <s v="North"/>
    <n v="3"/>
    <n v="75.09"/>
    <n v="0"/>
    <n v="225.28"/>
    <n v="54.73"/>
    <n v="0"/>
  </r>
  <r>
    <s v="ORD00346"/>
    <d v="2025-11-08T00:00:00"/>
    <s v="CUST0036"/>
    <s v="Consumer"/>
    <s v="File Organizer"/>
    <s v="Office Supplies"/>
    <s v="South"/>
    <n v="1"/>
    <n v="19.04"/>
    <n v="0.15"/>
    <n v="16.190000000000001"/>
    <n v="1.59"/>
    <n v="2.8559999999999999"/>
  </r>
  <r>
    <s v="ORD00356"/>
    <d v="2025-11-08T00:00:00"/>
    <s v="CUST0147"/>
    <s v="Small Business"/>
    <s v="Laptop Pro 14"/>
    <s v="Technology"/>
    <s v="South"/>
    <n v="1"/>
    <n v="909.25"/>
    <n v="0"/>
    <n v="909.25"/>
    <n v="169.41"/>
    <n v="0"/>
  </r>
  <r>
    <s v="ORD01072"/>
    <d v="2025-11-09T00:00:00"/>
    <s v="CUST0158"/>
    <s v="Consumer"/>
    <s v="Mechanical Keyboard"/>
    <s v="Technology"/>
    <s v="East"/>
    <n v="1"/>
    <n v="73.78"/>
    <n v="0.05"/>
    <n v="70.09"/>
    <n v="15.61"/>
    <n v="3.6890000000000001"/>
  </r>
  <r>
    <s v="ORD00971"/>
    <d v="2025-11-09T00:00:00"/>
    <s v="CUST0280"/>
    <s v="Small Business"/>
    <s v="Mechanical Keyboard"/>
    <s v="Technology"/>
    <s v="South"/>
    <n v="1"/>
    <n v="79.88"/>
    <n v="0"/>
    <n v="79.88"/>
    <n v="22.16"/>
    <n v="0"/>
  </r>
  <r>
    <s v="ORD00326"/>
    <d v="2025-11-09T00:00:00"/>
    <s v="CUST0124"/>
    <s v="Consumer"/>
    <s v="Office Chair"/>
    <s v="Furniture"/>
    <s v="North"/>
    <n v="4"/>
    <n v="197.35"/>
    <n v="0.15"/>
    <n v="670.99"/>
    <n v="119.12"/>
    <n v="118.41"/>
  </r>
  <r>
    <s v="ORD00120"/>
    <d v="2025-11-09T00:00:00"/>
    <s v="CUST0020"/>
    <s v="Small Business"/>
    <s v="File Organizer"/>
    <s v="Office Supplies"/>
    <s v="North"/>
    <n v="3"/>
    <n v="18.47"/>
    <n v="0.1"/>
    <n v="49.86"/>
    <n v="5.01"/>
    <n v="5.5410000000000004"/>
  </r>
  <r>
    <s v="ORD00896"/>
    <d v="2025-11-09T00:00:00"/>
    <s v="CUST0167"/>
    <s v="Consumer"/>
    <s v="Notebook Set"/>
    <s v="Office Supplies"/>
    <s v="West"/>
    <n v="1"/>
    <n v="12.66"/>
    <n v="0.1"/>
    <n v="11.4"/>
    <n v="2.6"/>
    <n v="1.266"/>
  </r>
  <r>
    <s v="ORD00104"/>
    <d v="2025-11-09T00:00:00"/>
    <s v="CUST0190"/>
    <s v="Consumer"/>
    <s v="Standing Desk"/>
    <s v="Furniture"/>
    <s v="East"/>
    <n v="2"/>
    <n v="334.84"/>
    <n v="0.05"/>
    <n v="636.19000000000005"/>
    <n v="150.83000000000001"/>
    <n v="33.484000000000002"/>
  </r>
  <r>
    <s v="ORD01062"/>
    <d v="2025-11-10T00:00:00"/>
    <s v="CUST0137"/>
    <s v="Corporate"/>
    <s v="24-inch Monitor"/>
    <s v="Technology"/>
    <s v="West"/>
    <n v="3"/>
    <n v="197.87"/>
    <n v="0"/>
    <n v="593.61"/>
    <n v="107.1"/>
    <n v="0"/>
  </r>
  <r>
    <s v="ORD00589"/>
    <d v="2025-11-10T00:00:00"/>
    <s v="CUST0074"/>
    <s v="Small Business"/>
    <s v="Mechanical Keyboard"/>
    <s v="Technology"/>
    <s v="North"/>
    <n v="1"/>
    <n v="74.400000000000006"/>
    <n v="0.15"/>
    <n v="63.24"/>
    <n v="6.2"/>
    <n v="11.16"/>
  </r>
  <r>
    <s v="ORD00749"/>
    <d v="2025-11-10T00:00:00"/>
    <s v="CUST0236"/>
    <s v="Consumer"/>
    <s v="Notebook Set"/>
    <s v="Office Supplies"/>
    <s v="North"/>
    <n v="2"/>
    <n v="13.16"/>
    <n v="0"/>
    <n v="26.32"/>
    <n v="2.2999999999999998"/>
    <n v="0"/>
  </r>
  <r>
    <s v="ORD00190"/>
    <d v="2025-11-10T00:00:00"/>
    <s v="CUST0164"/>
    <s v="Consumer"/>
    <s v="Notebook Set"/>
    <s v="Office Supplies"/>
    <s v="South"/>
    <n v="1"/>
    <n v="15.33"/>
    <n v="0"/>
    <n v="15.33"/>
    <n v="3.68"/>
    <n v="0"/>
  </r>
  <r>
    <s v="ORD00016"/>
    <d v="2025-11-11T00:00:00"/>
    <s v="CUST0113"/>
    <s v="Corporate"/>
    <s v="Standing Desk"/>
    <s v="Furniture"/>
    <s v="North"/>
    <n v="2"/>
    <n v="313.76"/>
    <n v="0"/>
    <n v="627.52"/>
    <n v="81.19"/>
    <n v="0"/>
  </r>
  <r>
    <s v="ORD00324"/>
    <d v="2025-11-11T00:00:00"/>
    <s v="CUST0240"/>
    <s v="Corporate"/>
    <s v="Mechanical Keyboard"/>
    <s v="Technology"/>
    <s v="East"/>
    <n v="2"/>
    <n v="72.13"/>
    <n v="0.05"/>
    <n v="137.05000000000001"/>
    <n v="23.03"/>
    <n v="7.2130000000000001"/>
  </r>
  <r>
    <s v="ORD00031"/>
    <d v="2025-11-12T00:00:00"/>
    <s v="CUST0143"/>
    <s v="Corporate"/>
    <s v="File Organizer"/>
    <s v="Office Supplies"/>
    <s v="North"/>
    <n v="1"/>
    <n v="17.63"/>
    <n v="0"/>
    <n v="17.63"/>
    <n v="1.59"/>
    <n v="0"/>
  </r>
  <r>
    <s v="ORD00124"/>
    <d v="2025-11-12T00:00:00"/>
    <s v="CUST0040"/>
    <s v="Small Business"/>
    <s v="Backpack"/>
    <s v="Lifestyle"/>
    <s v="North"/>
    <n v="2"/>
    <n v="56.02"/>
    <n v="0.05"/>
    <n v="106.43"/>
    <n v="24.99"/>
    <n v="5.6020000000000003"/>
  </r>
  <r>
    <s v="ORD00848"/>
    <d v="2025-11-12T00:00:00"/>
    <s v="CUST0018"/>
    <s v="Consumer"/>
    <s v="Wireless Mouse"/>
    <s v="Technology"/>
    <s v="South"/>
    <n v="2"/>
    <n v="30.47"/>
    <n v="0"/>
    <n v="60.93"/>
    <n v="15.91"/>
    <n v="0"/>
  </r>
  <r>
    <s v="ORD00845"/>
    <d v="2025-11-12T00:00:00"/>
    <s v="CUST0033"/>
    <s v="Consumer"/>
    <s v="Notebook Set"/>
    <s v="Office Supplies"/>
    <s v="South"/>
    <n v="4"/>
    <n v="14.5"/>
    <n v="0.05"/>
    <n v="55.1"/>
    <n v="8.2100000000000009"/>
    <n v="2.9000000000000004"/>
  </r>
  <r>
    <s v="ORD00661"/>
    <d v="2025-11-13T00:00:00"/>
    <s v="CUST0026"/>
    <s v="Corporate"/>
    <s v="Standing Desk"/>
    <s v="Furniture"/>
    <s v="South"/>
    <n v="1"/>
    <n v="310.52999999999997"/>
    <n v="0.05"/>
    <n v="295"/>
    <n v="65.05"/>
    <n v="15.526499999999999"/>
  </r>
  <r>
    <s v="ORD00737"/>
    <d v="2025-11-13T00:00:00"/>
    <s v="CUST0065"/>
    <s v="Small Business"/>
    <s v="24-inch Monitor"/>
    <s v="Technology"/>
    <s v="West"/>
    <n v="3"/>
    <n v="212.12"/>
    <n v="0.15"/>
    <n v="540.91"/>
    <n v="116.75"/>
    <n v="95.453999999999994"/>
  </r>
  <r>
    <s v="ORD00110"/>
    <d v="2025-11-14T00:00:00"/>
    <s v="CUST0268"/>
    <s v="Corporate"/>
    <s v="Notebook Set"/>
    <s v="Office Supplies"/>
    <s v="West"/>
    <n v="3"/>
    <n v="14.38"/>
    <n v="0.1"/>
    <n v="38.840000000000003"/>
    <n v="9.6199999999999992"/>
    <n v="4.3140000000000001"/>
  </r>
  <r>
    <s v="ORD00698"/>
    <d v="2025-11-14T00:00:00"/>
    <s v="CUST0092"/>
    <s v="Corporate"/>
    <s v="Office Chair"/>
    <s v="Furniture"/>
    <s v="West"/>
    <n v="1"/>
    <n v="187.97"/>
    <n v="0.05"/>
    <n v="178.57"/>
    <n v="45.38"/>
    <n v="9.3985000000000003"/>
  </r>
  <r>
    <s v="ORD00701"/>
    <d v="2025-11-14T00:00:00"/>
    <s v="CUST0158"/>
    <s v="Consumer"/>
    <s v="Desk Lamp"/>
    <s v="Furniture"/>
    <s v="West"/>
    <n v="2"/>
    <n v="38.15"/>
    <n v="0.05"/>
    <n v="72.48"/>
    <n v="10.14"/>
    <n v="3.8149999999999999"/>
  </r>
  <r>
    <s v="ORD01076"/>
    <d v="2025-11-14T00:00:00"/>
    <s v="CUST0108"/>
    <s v="Consumer"/>
    <s v="24-inch Monitor"/>
    <s v="Technology"/>
    <s v="South"/>
    <n v="1"/>
    <n v="208.8"/>
    <n v="0.1"/>
    <n v="187.92"/>
    <n v="17.100000000000001"/>
    <n v="20.880000000000003"/>
  </r>
  <r>
    <s v="ORD00079"/>
    <d v="2025-11-14T00:00:00"/>
    <s v="CUST0060"/>
    <s v="Consumer"/>
    <s v="Backpack"/>
    <s v="Lifestyle"/>
    <s v="West"/>
    <n v="3"/>
    <n v="51.49"/>
    <n v="0.15"/>
    <n v="131.31"/>
    <n v="7.11"/>
    <n v="23.170500000000001"/>
  </r>
  <r>
    <s v="ORD00150"/>
    <d v="2025-11-14T00:00:00"/>
    <s v="CUST0028"/>
    <s v="Consumer"/>
    <s v="Standing Desk"/>
    <s v="Furniture"/>
    <s v="West"/>
    <n v="2"/>
    <n v="336.13"/>
    <n v="0.05"/>
    <n v="638.66"/>
    <n v="65.319999999999993"/>
    <n v="33.613"/>
  </r>
  <r>
    <s v="ORD00535"/>
    <d v="2025-11-15T00:00:00"/>
    <s v="CUST0189"/>
    <s v="Small Business"/>
    <s v="Mechanical Keyboard"/>
    <s v="Technology"/>
    <s v="South"/>
    <n v="1"/>
    <n v="81.61"/>
    <n v="0.1"/>
    <n v="73.45"/>
    <n v="13.11"/>
    <n v="8.1609999999999996"/>
  </r>
  <r>
    <s v="ORD00035"/>
    <d v="2025-11-15T00:00:00"/>
    <s v="CUST0058"/>
    <s v="Consumer"/>
    <s v="Mechanical Keyboard"/>
    <s v="Technology"/>
    <s v="South"/>
    <n v="1"/>
    <n v="80.040000000000006"/>
    <n v="0.2"/>
    <n v="64.03"/>
    <n v="11.33"/>
    <n v="16.008000000000003"/>
  </r>
  <r>
    <s v="ORD01089"/>
    <d v="2025-11-16T00:00:00"/>
    <s v="CUST0189"/>
    <s v="Corporate"/>
    <s v="Wireless Mouse"/>
    <s v="Technology"/>
    <s v="West"/>
    <n v="1"/>
    <n v="26.83"/>
    <n v="0.15"/>
    <n v="22.81"/>
    <n v="3.83"/>
    <n v="4.0244999999999997"/>
  </r>
  <r>
    <s v="ORD00463"/>
    <d v="2025-11-16T00:00:00"/>
    <s v="CUST0230"/>
    <s v="Corporate"/>
    <s v="Desk Lamp"/>
    <s v="Furniture"/>
    <s v="South"/>
    <n v="1"/>
    <n v="39.32"/>
    <n v="0"/>
    <n v="39.32"/>
    <n v="5.21"/>
    <n v="0"/>
  </r>
  <r>
    <s v="ORD00325"/>
    <d v="2025-11-16T00:00:00"/>
    <s v="CUST0022"/>
    <s v="Consumer"/>
    <s v="Mechanical Keyboard"/>
    <s v="Technology"/>
    <s v="West"/>
    <n v="4"/>
    <n v="77.66"/>
    <n v="0.1"/>
    <n v="279.57"/>
    <n v="51.79"/>
    <n v="31.064"/>
  </r>
  <r>
    <s v="ORD01152"/>
    <d v="2025-11-16T00:00:00"/>
    <s v="CUST0214"/>
    <s v="Consumer"/>
    <s v="Wireless Mouse"/>
    <s v="Technology"/>
    <s v="North"/>
    <n v="1"/>
    <n v="30.26"/>
    <n v="0.1"/>
    <n v="27.23"/>
    <n v="6.74"/>
    <n v="3.0260000000000002"/>
  </r>
  <r>
    <s v="ORD00080"/>
    <d v="2025-11-16T00:00:00"/>
    <s v="CUST0062"/>
    <s v="Corporate"/>
    <s v="Notebook Set"/>
    <s v="Office Supplies"/>
    <s v="West"/>
    <n v="3"/>
    <n v="13.12"/>
    <n v="0.15"/>
    <n v="33.46"/>
    <n v="3.02"/>
    <n v="5.9039999999999999"/>
  </r>
  <r>
    <s v="ORD00647"/>
    <d v="2025-11-17T00:00:00"/>
    <s v="CUST0244"/>
    <s v="Consumer"/>
    <s v="Office Chair"/>
    <s v="Furniture"/>
    <s v="West"/>
    <n v="2"/>
    <n v="164.9"/>
    <n v="0"/>
    <n v="329.81"/>
    <n v="70.73"/>
    <n v="0"/>
  </r>
  <r>
    <s v="ORD00414"/>
    <d v="2025-11-17T00:00:00"/>
    <s v="CUST0175"/>
    <s v="Consumer"/>
    <s v="Printer Paper"/>
    <s v="Office Supplies"/>
    <s v="East"/>
    <n v="3"/>
    <n v="8.9600000000000009"/>
    <n v="0.15"/>
    <n v="22.85"/>
    <n v="2.73"/>
    <n v="4.032"/>
  </r>
  <r>
    <s v="ORD00293"/>
    <d v="2025-11-17T00:00:00"/>
    <s v="CUST0175"/>
    <s v="Consumer"/>
    <s v="24-inch Monitor"/>
    <s v="Technology"/>
    <s v="South"/>
    <n v="1"/>
    <n v="225"/>
    <n v="0"/>
    <n v="225"/>
    <n v="43.89"/>
    <n v="0"/>
  </r>
  <r>
    <s v="ORD00378"/>
    <d v="2025-11-18T00:00:00"/>
    <s v="CUST0209"/>
    <s v="Corporate"/>
    <s v="24-inch Monitor"/>
    <s v="Technology"/>
    <s v="North"/>
    <n v="1"/>
    <n v="218.51"/>
    <n v="0.05"/>
    <n v="207.59"/>
    <n v="17.45"/>
    <n v="10.9255"/>
  </r>
  <r>
    <s v="ORD00278"/>
    <d v="2025-11-18T00:00:00"/>
    <s v="CUST0055"/>
    <s v="Corporate"/>
    <s v="Wireless Mouse"/>
    <s v="Technology"/>
    <s v="East"/>
    <n v="1"/>
    <n v="27.45"/>
    <n v="0.15"/>
    <n v="23.33"/>
    <n v="2.63"/>
    <n v="4.1174999999999997"/>
  </r>
  <r>
    <s v="ORD00512"/>
    <d v="2025-11-18T00:00:00"/>
    <s v="CUST0097"/>
    <s v="Corporate"/>
    <s v="Printer Paper"/>
    <s v="Office Supplies"/>
    <s v="East"/>
    <n v="1"/>
    <n v="9.4600000000000009"/>
    <n v="0.15"/>
    <n v="8.0399999999999991"/>
    <n v="1.48"/>
    <n v="1.419"/>
  </r>
  <r>
    <s v="ORD00444"/>
    <d v="2025-11-18T00:00:00"/>
    <s v="CUST0124"/>
    <s v="Consumer"/>
    <s v="Backpack"/>
    <s v="Lifestyle"/>
    <s v="South"/>
    <n v="1"/>
    <n v="52.34"/>
    <n v="0"/>
    <n v="52.34"/>
    <n v="4.4800000000000004"/>
    <n v="0"/>
  </r>
  <r>
    <s v="ORD00716"/>
    <d v="2025-11-19T00:00:00"/>
    <s v="CUST0177"/>
    <s v="Corporate"/>
    <s v="Mechanical Keyboard"/>
    <s v="Technology"/>
    <s v="West"/>
    <n v="1"/>
    <n v="71.28"/>
    <n v="0"/>
    <n v="71.28"/>
    <n v="18.829999999999998"/>
    <n v="0"/>
  </r>
  <r>
    <s v="ORD00333"/>
    <d v="2025-11-19T00:00:00"/>
    <s v="CUST0065"/>
    <s v="Corporate"/>
    <s v="Standing Desk"/>
    <s v="Furniture"/>
    <s v="South"/>
    <n v="3"/>
    <n v="317.64999999999998"/>
    <n v="0.1"/>
    <n v="857.66"/>
    <n v="94.56"/>
    <n v="95.295000000000002"/>
  </r>
  <r>
    <s v="ORD00643"/>
    <d v="2025-11-19T00:00:00"/>
    <s v="CUST0293"/>
    <s v="Consumer"/>
    <s v="Water Bottle"/>
    <s v="Lifestyle"/>
    <s v="South"/>
    <n v="5"/>
    <n v="21.62"/>
    <n v="0"/>
    <n v="108.08"/>
    <n v="10.82"/>
    <n v="0"/>
  </r>
  <r>
    <s v="ORD00406"/>
    <d v="2025-11-19T00:00:00"/>
    <s v="CUST0162"/>
    <s v="Corporate"/>
    <s v="Notebook Set"/>
    <s v="Office Supplies"/>
    <s v="West"/>
    <n v="1"/>
    <n v="13.19"/>
    <n v="0"/>
    <n v="13.19"/>
    <n v="2.81"/>
    <n v="0"/>
  </r>
  <r>
    <s v="ORD00344"/>
    <d v="2025-11-20T00:00:00"/>
    <s v="CUST0133"/>
    <s v="Corporate"/>
    <s v="Backpack"/>
    <s v="Lifestyle"/>
    <s v="North"/>
    <n v="2"/>
    <n v="52.36"/>
    <n v="0.1"/>
    <n v="94.25"/>
    <n v="8.91"/>
    <n v="10.472000000000001"/>
  </r>
  <r>
    <s v="ORD00254"/>
    <d v="2025-11-20T00:00:00"/>
    <s v="CUST0143"/>
    <s v="Consumer"/>
    <s v="Laptop Pro 14"/>
    <s v="Technology"/>
    <s v="South"/>
    <n v="1"/>
    <n v="997.72"/>
    <n v="0.05"/>
    <n v="947.84"/>
    <n v="81.61"/>
    <n v="49.886000000000003"/>
  </r>
  <r>
    <s v="ORD00592"/>
    <d v="2025-11-20T00:00:00"/>
    <s v="CUST0141"/>
    <s v="Corporate"/>
    <s v="Printer Paper"/>
    <s v="Office Supplies"/>
    <s v="South"/>
    <n v="1"/>
    <n v="8.8800000000000008"/>
    <n v="0"/>
    <n v="8.8800000000000008"/>
    <n v="0.87"/>
    <n v="0"/>
  </r>
  <r>
    <s v="ORD00531"/>
    <d v="2025-11-20T00:00:00"/>
    <s v="CUST0074"/>
    <s v="Corporate"/>
    <s v="Laptop Pro 14"/>
    <s v="Technology"/>
    <s v="North"/>
    <n v="2"/>
    <n v="900.64"/>
    <n v="0.1"/>
    <n v="1621.16"/>
    <n v="242.39"/>
    <n v="180.12800000000001"/>
  </r>
  <r>
    <s v="ORD00310"/>
    <d v="2025-11-20T00:00:00"/>
    <s v="CUST0193"/>
    <s v="Consumer"/>
    <s v="Laptop Pro 14"/>
    <s v="Technology"/>
    <s v="North"/>
    <n v="4"/>
    <n v="951.13"/>
    <n v="0"/>
    <n v="3804.53"/>
    <n v="472.41"/>
    <n v="0"/>
  </r>
  <r>
    <s v="ORD00567"/>
    <d v="2025-11-20T00:00:00"/>
    <s v="CUST0299"/>
    <s v="Small Business"/>
    <s v="Desk Lamp"/>
    <s v="Furniture"/>
    <s v="South"/>
    <n v="1"/>
    <n v="42.07"/>
    <n v="0.1"/>
    <n v="37.86"/>
    <n v="7.97"/>
    <n v="4.2069999999999999"/>
  </r>
  <r>
    <s v="ORD01000"/>
    <d v="2025-11-21T00:00:00"/>
    <s v="CUST0168"/>
    <s v="Consumer"/>
    <s v="File Organizer"/>
    <s v="Office Supplies"/>
    <s v="West"/>
    <n v="2"/>
    <n v="17.39"/>
    <n v="0"/>
    <n v="34.770000000000003"/>
    <n v="6.51"/>
    <n v="0"/>
  </r>
  <r>
    <s v="ORD00825"/>
    <d v="2025-11-21T00:00:00"/>
    <s v="CUST0038"/>
    <s v="Consumer"/>
    <s v="Desk Lamp"/>
    <s v="Furniture"/>
    <s v="East"/>
    <n v="2"/>
    <n v="40.49"/>
    <n v="0.15"/>
    <n v="68.83"/>
    <n v="12.89"/>
    <n v="12.147"/>
  </r>
  <r>
    <s v="ORD00019"/>
    <d v="2025-11-21T00:00:00"/>
    <s v="CUST0259"/>
    <s v="Consumer"/>
    <s v="24-inch Monitor"/>
    <s v="Technology"/>
    <s v="West"/>
    <n v="3"/>
    <n v="195.33"/>
    <n v="0.1"/>
    <n v="527.39"/>
    <n v="82.38"/>
    <n v="58.599000000000004"/>
  </r>
  <r>
    <s v="ORD00076"/>
    <d v="2025-11-22T00:00:00"/>
    <s v="CUST0293"/>
    <s v="Consumer"/>
    <s v="File Organizer"/>
    <s v="Office Supplies"/>
    <s v="South"/>
    <n v="2"/>
    <n v="16.61"/>
    <n v="0"/>
    <n v="33.229999999999997"/>
    <n v="6.72"/>
    <n v="0"/>
  </r>
  <r>
    <s v="ORD00906"/>
    <d v="2025-11-23T00:00:00"/>
    <s v="CUST0235"/>
    <s v="Small Business"/>
    <s v="Wireless Mouse"/>
    <s v="Technology"/>
    <s v="East"/>
    <n v="1"/>
    <n v="28.27"/>
    <n v="0.15"/>
    <n v="24.03"/>
    <n v="2.16"/>
    <n v="4.2404999999999999"/>
  </r>
  <r>
    <s v="ORD00476"/>
    <d v="2025-11-23T00:00:00"/>
    <s v="CUST0012"/>
    <s v="Small Business"/>
    <s v="Standing Desk"/>
    <s v="Furniture"/>
    <s v="West"/>
    <n v="2"/>
    <n v="318.81"/>
    <n v="0.05"/>
    <n v="605.73"/>
    <n v="113.23"/>
    <n v="31.881"/>
  </r>
  <r>
    <s v="ORD00419"/>
    <d v="2025-11-23T00:00:00"/>
    <s v="CUST0296"/>
    <s v="Consumer"/>
    <s v="Water Bottle"/>
    <s v="Lifestyle"/>
    <s v="West"/>
    <n v="3"/>
    <n v="22.17"/>
    <n v="0.05"/>
    <n v="63.17"/>
    <n v="7.99"/>
    <n v="3.3255000000000003"/>
  </r>
  <r>
    <s v="ORD00523"/>
    <d v="2025-11-23T00:00:00"/>
    <s v="CUST0239"/>
    <s v="Consumer"/>
    <s v="Mechanical Keyboard"/>
    <s v="Technology"/>
    <s v="East"/>
    <n v="2"/>
    <n v="77.319999999999993"/>
    <n v="0.15"/>
    <n v="131.44999999999999"/>
    <n v="16.41"/>
    <n v="23.195999999999998"/>
  </r>
  <r>
    <s v="ORD01055"/>
    <d v="2025-11-23T00:00:00"/>
    <s v="CUST0252"/>
    <s v="Small Business"/>
    <s v="24-inch Monitor"/>
    <s v="Technology"/>
    <s v="East"/>
    <n v="1"/>
    <n v="221.72"/>
    <n v="0.05"/>
    <n v="210.63"/>
    <n v="25.99"/>
    <n v="11.086"/>
  </r>
  <r>
    <s v="ORD01176"/>
    <d v="2025-11-24T00:00:00"/>
    <s v="CUST0242"/>
    <s v="Small Business"/>
    <s v="Wireless Mouse"/>
    <s v="Technology"/>
    <s v="South"/>
    <n v="2"/>
    <n v="25.74"/>
    <n v="0.05"/>
    <n v="48.91"/>
    <n v="4.59"/>
    <n v="2.5739999999999998"/>
  </r>
  <r>
    <s v="ORD00122"/>
    <d v="2025-11-25T00:00:00"/>
    <s v="CUST0170"/>
    <s v="Consumer"/>
    <s v="24-inch Monitor"/>
    <s v="Technology"/>
    <s v="East"/>
    <n v="4"/>
    <n v="194.44"/>
    <n v="0"/>
    <n v="777.76"/>
    <n v="200.47"/>
    <n v="0"/>
  </r>
  <r>
    <s v="ORD00546"/>
    <d v="2025-11-26T00:00:00"/>
    <s v="CUST0124"/>
    <s v="Consumer"/>
    <s v="Wireless Mouse"/>
    <s v="Technology"/>
    <s v="North"/>
    <n v="2"/>
    <n v="26.59"/>
    <n v="0"/>
    <n v="53.19"/>
    <n v="8.59"/>
    <n v="0"/>
  </r>
  <r>
    <s v="ORD00835"/>
    <d v="2025-11-26T00:00:00"/>
    <s v="CUST0164"/>
    <s v="Consumer"/>
    <s v="Backpack"/>
    <s v="Lifestyle"/>
    <s v="West"/>
    <n v="2"/>
    <n v="56.96"/>
    <n v="0.15"/>
    <n v="96.83"/>
    <n v="12.09"/>
    <n v="17.088000000000001"/>
  </r>
  <r>
    <s v="ORD01190"/>
    <d v="2025-11-26T00:00:00"/>
    <s v="CUST0137"/>
    <s v="Small Business"/>
    <s v="Standing Desk"/>
    <s v="Furniture"/>
    <s v="South"/>
    <n v="1"/>
    <n v="345.85"/>
    <n v="0.1"/>
    <n v="311.26"/>
    <n v="43.75"/>
    <n v="34.585000000000001"/>
  </r>
  <r>
    <s v="ORD00360"/>
    <d v="2025-11-27T00:00:00"/>
    <s v="CUST0207"/>
    <s v="Small Business"/>
    <s v="File Organizer"/>
    <s v="Office Supplies"/>
    <s v="South"/>
    <n v="1"/>
    <n v="19.23"/>
    <n v="0.15"/>
    <n v="16.350000000000001"/>
    <n v="1.93"/>
    <n v="2.8845000000000001"/>
  </r>
  <r>
    <s v="ORD01187"/>
    <d v="2025-11-27T00:00:00"/>
    <s v="CUST0224"/>
    <s v="Small Business"/>
    <s v="Laptop Pro 14"/>
    <s v="Technology"/>
    <s v="West"/>
    <n v="1"/>
    <n v="1041.52"/>
    <n v="0.15"/>
    <n v="885.29"/>
    <n v="107.7"/>
    <n v="156.22799999999998"/>
  </r>
  <r>
    <s v="ORD00652"/>
    <d v="2025-11-28T00:00:00"/>
    <s v="CUST0104"/>
    <s v="Consumer"/>
    <s v="Office Chair"/>
    <s v="Furniture"/>
    <s v="East"/>
    <n v="1"/>
    <n v="184.4"/>
    <n v="0"/>
    <n v="184.4"/>
    <n v="49.21"/>
    <n v="0"/>
  </r>
  <r>
    <s v="ORD00738"/>
    <d v="2025-11-29T00:00:00"/>
    <s v="CUST0139"/>
    <s v="Consumer"/>
    <s v="Laptop Pro 14"/>
    <s v="Technology"/>
    <s v="East"/>
    <n v="1"/>
    <n v="890.71"/>
    <n v="0.2"/>
    <n v="712.56"/>
    <n v="54.62"/>
    <n v="178.14200000000002"/>
  </r>
  <r>
    <s v="ORD01050"/>
    <d v="2025-11-29T00:00:00"/>
    <s v="CUST0279"/>
    <s v="Consumer"/>
    <s v="Water Bottle"/>
    <s v="Lifestyle"/>
    <s v="North"/>
    <n v="2"/>
    <n v="20.100000000000001"/>
    <n v="0.15"/>
    <n v="34.17"/>
    <n v="5.18"/>
    <n v="6.03"/>
  </r>
  <r>
    <s v="ORD00195"/>
    <d v="2025-11-29T00:00:00"/>
    <s v="CUST0228"/>
    <s v="Corporate"/>
    <s v="Notebook Set"/>
    <s v="Office Supplies"/>
    <s v="North"/>
    <n v="1"/>
    <n v="12.63"/>
    <n v="0"/>
    <n v="12.63"/>
    <n v="3.43"/>
    <n v="0"/>
  </r>
  <r>
    <s v="ORD01189"/>
    <d v="2025-11-29T00:00:00"/>
    <s v="CUST0028"/>
    <s v="Small Business"/>
    <s v="Mechanical Keyboard"/>
    <s v="Technology"/>
    <s v="East"/>
    <n v="4"/>
    <n v="70.099999999999994"/>
    <n v="0.05"/>
    <n v="266.39"/>
    <n v="67.760000000000005"/>
    <n v="14.02"/>
  </r>
  <r>
    <s v="ORD00817"/>
    <d v="2025-11-30T00:00:00"/>
    <s v="CUST0203"/>
    <s v="Consumer"/>
    <s v="Mechanical Keyboard"/>
    <s v="Technology"/>
    <s v="East"/>
    <n v="4"/>
    <n v="71.58"/>
    <n v="0.05"/>
    <n v="272.02"/>
    <n v="38.92"/>
    <n v="14.316000000000001"/>
  </r>
  <r>
    <s v="ORD01025"/>
    <d v="2025-11-30T00:00:00"/>
    <s v="CUST0264"/>
    <s v="Consumer"/>
    <s v="Desk Lamp"/>
    <s v="Furniture"/>
    <s v="West"/>
    <n v="2"/>
    <n v="38.93"/>
    <n v="0.05"/>
    <n v="73.97"/>
    <n v="7.16"/>
    <n v="3.8930000000000002"/>
  </r>
  <r>
    <s v="ORD00966"/>
    <d v="2025-11-30T00:00:00"/>
    <s v="CUST0078"/>
    <s v="Small Business"/>
    <s v="Laptop Pro 14"/>
    <s v="Technology"/>
    <s v="North"/>
    <n v="1"/>
    <n v="1003.3"/>
    <n v="0.15"/>
    <n v="852.8"/>
    <n v="166.24"/>
    <n v="150.49499999999998"/>
  </r>
  <r>
    <s v="ORD00450"/>
    <d v="2025-12-01T00:00:00"/>
    <s v="CUST0251"/>
    <s v="Corporate"/>
    <s v="Water Bottle"/>
    <s v="Lifestyle"/>
    <s v="North"/>
    <n v="1"/>
    <n v="19.86"/>
    <n v="0"/>
    <n v="19.86"/>
    <n v="3.73"/>
    <n v="0"/>
  </r>
  <r>
    <s v="ORD00794"/>
    <d v="2025-12-02T00:00:00"/>
    <s v="CUST0214"/>
    <s v="Consumer"/>
    <s v="Water Bottle"/>
    <s v="Lifestyle"/>
    <s v="South"/>
    <n v="5"/>
    <n v="22.68"/>
    <n v="0"/>
    <n v="113.41"/>
    <n v="19.11"/>
    <n v="0"/>
  </r>
  <r>
    <s v="ORD01058"/>
    <d v="2025-12-02T00:00:00"/>
    <s v="CUST0122"/>
    <s v="Corporate"/>
    <s v="File Organizer"/>
    <s v="Office Supplies"/>
    <s v="South"/>
    <n v="2"/>
    <n v="19.23"/>
    <n v="0.15"/>
    <n v="32.69"/>
    <n v="5.86"/>
    <n v="5.7690000000000001"/>
  </r>
  <r>
    <s v="ORD01132"/>
    <d v="2025-12-02T00:00:00"/>
    <s v="CUST0189"/>
    <s v="Small Business"/>
    <s v="Printer Paper"/>
    <s v="Office Supplies"/>
    <s v="East"/>
    <n v="2"/>
    <n v="8.8000000000000007"/>
    <n v="0.1"/>
    <n v="15.84"/>
    <n v="2.37"/>
    <n v="1.7600000000000002"/>
  </r>
  <r>
    <s v="ORD01051"/>
    <d v="2025-12-03T00:00:00"/>
    <s v="CUST0090"/>
    <s v="Small Business"/>
    <s v="24-inch Monitor"/>
    <s v="Technology"/>
    <s v="South"/>
    <n v="2"/>
    <n v="200.99"/>
    <n v="0.05"/>
    <n v="381.88"/>
    <n v="49.35"/>
    <n v="20.099000000000004"/>
  </r>
  <r>
    <s v="ORD01096"/>
    <d v="2025-12-03T00:00:00"/>
    <s v="CUST0105"/>
    <s v="Corporate"/>
    <s v="Wireless Mouse"/>
    <s v="Technology"/>
    <s v="West"/>
    <n v="5"/>
    <n v="29.14"/>
    <n v="0"/>
    <n v="145.68"/>
    <n v="18.14"/>
    <n v="0"/>
  </r>
  <r>
    <s v="ORD00743"/>
    <d v="2025-12-04T00:00:00"/>
    <s v="CUST0196"/>
    <s v="Corporate"/>
    <s v="Printer Paper"/>
    <s v="Office Supplies"/>
    <s v="East"/>
    <n v="2"/>
    <n v="9.61"/>
    <n v="0"/>
    <n v="19.21"/>
    <n v="2.73"/>
    <n v="0"/>
  </r>
  <r>
    <s v="ORD00931"/>
    <d v="2025-12-04T00:00:00"/>
    <s v="CUST0063"/>
    <s v="Consumer"/>
    <s v="Backpack"/>
    <s v="Lifestyle"/>
    <s v="South"/>
    <n v="1"/>
    <n v="59.24"/>
    <n v="0.1"/>
    <n v="53.31"/>
    <n v="5.46"/>
    <n v="5.9240000000000004"/>
  </r>
  <r>
    <s v="ORD00282"/>
    <d v="2025-12-04T00:00:00"/>
    <s v="CUST0096"/>
    <s v="Consumer"/>
    <s v="Notebook Set"/>
    <s v="Office Supplies"/>
    <s v="East"/>
    <n v="3"/>
    <n v="12.6"/>
    <n v="0"/>
    <n v="37.799999999999997"/>
    <n v="6.89"/>
    <n v="0"/>
  </r>
  <r>
    <s v="ORD00408"/>
    <d v="2025-12-06T00:00:00"/>
    <s v="CUST0025"/>
    <s v="Consumer"/>
    <s v="Laptop Pro 14"/>
    <s v="Technology"/>
    <s v="West"/>
    <n v="2"/>
    <n v="984.61"/>
    <n v="0"/>
    <n v="1969.22"/>
    <n v="531.65"/>
    <n v="0"/>
  </r>
  <r>
    <s v="ORD00024"/>
    <d v="2025-12-06T00:00:00"/>
    <s v="CUST0169"/>
    <s v="Small Business"/>
    <s v="Mechanical Keyboard"/>
    <s v="Technology"/>
    <s v="South"/>
    <n v="5"/>
    <n v="72.08"/>
    <n v="0"/>
    <n v="360.4"/>
    <n v="63.84"/>
    <n v="0"/>
  </r>
  <r>
    <s v="ORD01063"/>
    <d v="2025-12-06T00:00:00"/>
    <s v="CUST0201"/>
    <s v="Corporate"/>
    <s v="Wireless Mouse"/>
    <s v="Technology"/>
    <s v="North"/>
    <n v="3"/>
    <n v="30.43"/>
    <n v="0.15"/>
    <n v="77.599999999999994"/>
    <n v="9.31"/>
    <n v="13.693499999999998"/>
  </r>
  <r>
    <s v="ORD00064"/>
    <d v="2025-12-06T00:00:00"/>
    <s v="CUST0151"/>
    <s v="Corporate"/>
    <s v="Notebook Set"/>
    <s v="Office Supplies"/>
    <s v="North"/>
    <n v="1"/>
    <n v="14.22"/>
    <n v="0"/>
    <n v="14.22"/>
    <n v="2.11"/>
    <n v="0"/>
  </r>
  <r>
    <s v="ORD00287"/>
    <d v="2025-12-06T00:00:00"/>
    <s v="CUST0146"/>
    <s v="Small Business"/>
    <s v="Mechanical Keyboard"/>
    <s v="Technology"/>
    <s v="East"/>
    <n v="1"/>
    <n v="73.28"/>
    <n v="0.05"/>
    <n v="69.61"/>
    <n v="16.850000000000001"/>
    <n v="3.6640000000000001"/>
  </r>
  <r>
    <s v="ORD00717"/>
    <d v="2025-12-07T00:00:00"/>
    <s v="CUST0043"/>
    <s v="Consumer"/>
    <s v="Printer Paper"/>
    <s v="Office Supplies"/>
    <s v="West"/>
    <n v="2"/>
    <n v="8.57"/>
    <n v="0.05"/>
    <n v="16.27"/>
    <n v="3.73"/>
    <n v="0.8570000000000001"/>
  </r>
  <r>
    <s v="ORD00901"/>
    <d v="2025-12-08T00:00:00"/>
    <s v="CUST0082"/>
    <s v="Consumer"/>
    <s v="Office Chair"/>
    <s v="Furniture"/>
    <s v="North"/>
    <n v="1"/>
    <n v="177.06"/>
    <n v="0"/>
    <n v="177.06"/>
    <n v="32.17"/>
    <n v="0"/>
  </r>
  <r>
    <s v="ORD00247"/>
    <d v="2025-12-08T00:00:00"/>
    <s v="CUST0061"/>
    <s v="Corporate"/>
    <s v="Backpack"/>
    <s v="Lifestyle"/>
    <s v="West"/>
    <n v="3"/>
    <n v="56.48"/>
    <n v="0.05"/>
    <n v="160.94999999999999"/>
    <n v="13.65"/>
    <n v="8.4719999999999995"/>
  </r>
  <r>
    <s v="ORD00985"/>
    <d v="2025-12-08T00:00:00"/>
    <s v="CUST0096"/>
    <s v="Corporate"/>
    <s v="Mechanical Keyboard"/>
    <s v="Technology"/>
    <s v="South"/>
    <n v="3"/>
    <n v="78.34"/>
    <n v="0.1"/>
    <n v="211.52"/>
    <n v="21.33"/>
    <n v="23.502000000000002"/>
  </r>
  <r>
    <s v="ORD01134"/>
    <d v="2025-12-08T00:00:00"/>
    <s v="CUST0102"/>
    <s v="Consumer"/>
    <s v="Wireless Mouse"/>
    <s v="Technology"/>
    <s v="East"/>
    <n v="4"/>
    <n v="26.82"/>
    <n v="0"/>
    <n v="107.29"/>
    <n v="14.37"/>
    <n v="0"/>
  </r>
  <r>
    <s v="ORD00750"/>
    <d v="2025-12-08T00:00:00"/>
    <s v="CUST0053"/>
    <s v="Small Business"/>
    <s v="Laptop Pro 14"/>
    <s v="Technology"/>
    <s v="South"/>
    <n v="1"/>
    <n v="868.24"/>
    <n v="0.15"/>
    <n v="738.01"/>
    <n v="35.64"/>
    <n v="130.23599999999999"/>
  </r>
  <r>
    <s v="ORD00181"/>
    <d v="2025-12-08T00:00:00"/>
    <s v="CUST0158"/>
    <s v="Consumer"/>
    <s v="Backpack"/>
    <s v="Lifestyle"/>
    <s v="West"/>
    <n v="4"/>
    <n v="58.49"/>
    <n v="0"/>
    <n v="233.97"/>
    <n v="36.53"/>
    <n v="0"/>
  </r>
  <r>
    <s v="ORD00944"/>
    <d v="2025-12-08T00:00:00"/>
    <s v="CUST0102"/>
    <s v="Consumer"/>
    <s v="Laptop Pro 14"/>
    <s v="Technology"/>
    <s v="South"/>
    <n v="4"/>
    <n v="942.3"/>
    <n v="0.05"/>
    <n v="3580.76"/>
    <n v="493.3"/>
    <n v="188.46"/>
  </r>
  <r>
    <s v="ORD00611"/>
    <d v="2025-12-08T00:00:00"/>
    <s v="CUST0073"/>
    <s v="Small Business"/>
    <s v="Desk Lamp"/>
    <s v="Furniture"/>
    <s v="East"/>
    <n v="1"/>
    <n v="42.61"/>
    <n v="0"/>
    <n v="42.61"/>
    <n v="10.39"/>
    <n v="0"/>
  </r>
  <r>
    <s v="ORD01197"/>
    <d v="2025-12-08T00:00:00"/>
    <s v="CUST0041"/>
    <s v="Corporate"/>
    <s v="Backpack"/>
    <s v="Lifestyle"/>
    <s v="West"/>
    <n v="2"/>
    <n v="59.67"/>
    <n v="0.1"/>
    <n v="107.4"/>
    <n v="21.69"/>
    <n v="11.934000000000001"/>
  </r>
  <r>
    <s v="ORD00570"/>
    <d v="2025-12-09T00:00:00"/>
    <s v="CUST0045"/>
    <s v="Consumer"/>
    <s v="Standing Desk"/>
    <s v="Furniture"/>
    <s v="East"/>
    <n v="5"/>
    <n v="316.2"/>
    <n v="0.05"/>
    <n v="1501.94"/>
    <n v="240.23"/>
    <n v="79.050000000000011"/>
  </r>
  <r>
    <s v="ORD00872"/>
    <d v="2025-12-10T00:00:00"/>
    <s v="CUST0062"/>
    <s v="Small Business"/>
    <s v="Standing Desk"/>
    <s v="Furniture"/>
    <s v="South"/>
    <n v="5"/>
    <n v="299.7"/>
    <n v="0"/>
    <n v="1498.52"/>
    <n v="331.19"/>
    <n v="0"/>
  </r>
  <r>
    <s v="ORD00385"/>
    <d v="2025-12-10T00:00:00"/>
    <s v="CUST0128"/>
    <s v="Corporate"/>
    <s v="Notebook Set"/>
    <s v="Office Supplies"/>
    <s v="North"/>
    <n v="1"/>
    <n v="14.85"/>
    <n v="0.05"/>
    <n v="14.11"/>
    <n v="1.35"/>
    <n v="0.74250000000000005"/>
  </r>
  <r>
    <s v="ORD00251"/>
    <d v="2025-12-10T00:00:00"/>
    <s v="CUST0046"/>
    <s v="Corporate"/>
    <s v="Office Chair"/>
    <s v="Furniture"/>
    <s v="South"/>
    <n v="4"/>
    <n v="187.28"/>
    <n v="0.05"/>
    <n v="711.67"/>
    <n v="192.21"/>
    <n v="37.456000000000003"/>
  </r>
  <r>
    <s v="ORD00138"/>
    <d v="2025-12-10T00:00:00"/>
    <s v="CUST0032"/>
    <s v="Consumer"/>
    <s v="Notebook Set"/>
    <s v="Office Supplies"/>
    <s v="South"/>
    <n v="1"/>
    <n v="13.7"/>
    <n v="0"/>
    <n v="13.7"/>
    <n v="2.41"/>
    <n v="0"/>
  </r>
  <r>
    <s v="ORD00009"/>
    <d v="2025-12-10T00:00:00"/>
    <s v="CUST0231"/>
    <s v="Consumer"/>
    <s v="Laptop Pro 14"/>
    <s v="Technology"/>
    <s v="North"/>
    <n v="3"/>
    <n v="993.51"/>
    <n v="0.1"/>
    <n v="2682.48"/>
    <n v="585.16999999999996"/>
    <n v="298.053"/>
  </r>
  <r>
    <s v="ORD00490"/>
    <d v="2025-12-11T00:00:00"/>
    <s v="CUST0236"/>
    <s v="Small Business"/>
    <s v="Wireless Mouse"/>
    <s v="Technology"/>
    <s v="East"/>
    <n v="2"/>
    <n v="26.63"/>
    <n v="0"/>
    <n v="53.26"/>
    <n v="7.75"/>
    <n v="0"/>
  </r>
  <r>
    <s v="ORD00477"/>
    <d v="2025-12-11T00:00:00"/>
    <s v="CUST0025"/>
    <s v="Corporate"/>
    <s v="Laptop Pro 14"/>
    <s v="Technology"/>
    <s v="West"/>
    <n v="3"/>
    <n v="866.23"/>
    <n v="0"/>
    <n v="2598.69"/>
    <n v="566.89"/>
    <n v="0"/>
  </r>
  <r>
    <s v="ORD00842"/>
    <d v="2025-12-11T00:00:00"/>
    <s v="CUST0017"/>
    <s v="Consumer"/>
    <s v="Wireless Mouse"/>
    <s v="Technology"/>
    <s v="West"/>
    <n v="2"/>
    <n v="27.39"/>
    <n v="0"/>
    <n v="54.79"/>
    <n v="12.2"/>
    <n v="0"/>
  </r>
  <r>
    <s v="ORD00691"/>
    <d v="2025-12-11T00:00:00"/>
    <s v="CUST0033"/>
    <s v="Corporate"/>
    <s v="Notebook Set"/>
    <s v="Office Supplies"/>
    <s v="West"/>
    <n v="2"/>
    <n v="14.84"/>
    <n v="0"/>
    <n v="29.68"/>
    <n v="6.13"/>
    <n v="0"/>
  </r>
  <r>
    <s v="ORD00953"/>
    <d v="2025-12-12T00:00:00"/>
    <s v="CUST0019"/>
    <s v="Corporate"/>
    <s v="Office Chair"/>
    <s v="Furniture"/>
    <s v="North"/>
    <n v="1"/>
    <n v="192.88"/>
    <n v="0"/>
    <n v="192.88"/>
    <n v="27.35"/>
    <n v="0"/>
  </r>
  <r>
    <s v="ORD00022"/>
    <d v="2025-12-12T00:00:00"/>
    <s v="CUST0233"/>
    <s v="Consumer"/>
    <s v="Printer Paper"/>
    <s v="Office Supplies"/>
    <s v="South"/>
    <n v="5"/>
    <n v="9.1"/>
    <n v="0.2"/>
    <n v="36.42"/>
    <n v="8.0399999999999991"/>
    <n v="9.1"/>
  </r>
  <r>
    <s v="ORD00125"/>
    <d v="2025-12-13T00:00:00"/>
    <s v="CUST0181"/>
    <s v="Small Business"/>
    <s v="Laptop Pro 14"/>
    <s v="Technology"/>
    <s v="West"/>
    <n v="2"/>
    <n v="1019.79"/>
    <n v="0.15"/>
    <n v="1733.64"/>
    <n v="312.64"/>
    <n v="305.93699999999995"/>
  </r>
  <r>
    <s v="ORD00091"/>
    <d v="2025-12-13T00:00:00"/>
    <s v="CUST0161"/>
    <s v="Consumer"/>
    <s v="Laptop Pro 14"/>
    <s v="Technology"/>
    <s v="East"/>
    <n v="4"/>
    <n v="964.75"/>
    <n v="0"/>
    <n v="3859"/>
    <n v="436.46"/>
    <n v="0"/>
  </r>
  <r>
    <s v="ORD00486"/>
    <d v="2025-12-13T00:00:00"/>
    <s v="CUST0137"/>
    <s v="Corporate"/>
    <s v="Backpack"/>
    <s v="Lifestyle"/>
    <s v="North"/>
    <n v="1"/>
    <n v="58.08"/>
    <n v="0.05"/>
    <n v="55.18"/>
    <n v="10.119999999999999"/>
    <n v="2.9039999999999999"/>
  </r>
  <r>
    <s v="ORD00659"/>
    <d v="2025-12-13T00:00:00"/>
    <s v="CUST0291"/>
    <s v="Consumer"/>
    <s v="File Organizer"/>
    <s v="Office Supplies"/>
    <s v="North"/>
    <n v="1"/>
    <n v="19.36"/>
    <n v="0.1"/>
    <n v="17.420000000000002"/>
    <n v="2.12"/>
    <n v="1.9359999999999999"/>
  </r>
  <r>
    <s v="ORD00908"/>
    <d v="2025-12-14T00:00:00"/>
    <s v="CUST0158"/>
    <s v="Consumer"/>
    <s v="Laptop Pro 14"/>
    <s v="Technology"/>
    <s v="East"/>
    <n v="1"/>
    <n v="930.41"/>
    <n v="0.05"/>
    <n v="883.89"/>
    <n v="191.67"/>
    <n v="46.520499999999998"/>
  </r>
  <r>
    <s v="ORD00474"/>
    <d v="2025-12-14T00:00:00"/>
    <s v="CUST0179"/>
    <s v="Consumer"/>
    <s v="Mechanical Keyboard"/>
    <s v="Technology"/>
    <s v="North"/>
    <n v="2"/>
    <n v="73.239999999999995"/>
    <n v="0.05"/>
    <n v="139.16"/>
    <n v="33.29"/>
    <n v="7.3239999999999998"/>
  </r>
  <r>
    <s v="ORD00273"/>
    <d v="2025-12-15T00:00:00"/>
    <s v="CUST0184"/>
    <s v="Corporate"/>
    <s v="Standing Desk"/>
    <s v="Furniture"/>
    <s v="East"/>
    <n v="1"/>
    <n v="320.68"/>
    <n v="0"/>
    <n v="320.68"/>
    <n v="77.25"/>
    <n v="0"/>
  </r>
  <r>
    <s v="ORD01101"/>
    <d v="2025-12-15T00:00:00"/>
    <s v="CUST0294"/>
    <s v="Small Business"/>
    <s v="24-inch Monitor"/>
    <s v="Technology"/>
    <s v="West"/>
    <n v="2"/>
    <n v="205.44"/>
    <n v="0.15"/>
    <n v="349.24"/>
    <n v="80.27"/>
    <n v="61.631999999999998"/>
  </r>
  <r>
    <s v="ORD00859"/>
    <d v="2025-12-15T00:00:00"/>
    <s v="CUST0155"/>
    <s v="Consumer"/>
    <s v="24-inch Monitor"/>
    <s v="Technology"/>
    <s v="North"/>
    <n v="5"/>
    <n v="202.27"/>
    <n v="0"/>
    <n v="1011.36"/>
    <n v="144.44"/>
    <n v="0"/>
  </r>
  <r>
    <s v="ORD00096"/>
    <d v="2025-12-15T00:00:00"/>
    <s v="CUST0067"/>
    <s v="Consumer"/>
    <s v="Notebook Set"/>
    <s v="Office Supplies"/>
    <s v="North"/>
    <n v="1"/>
    <n v="12.66"/>
    <n v="0.1"/>
    <n v="11.39"/>
    <n v="0.84"/>
    <n v="1.266"/>
  </r>
  <r>
    <s v="ORD00565"/>
    <d v="2025-12-15T00:00:00"/>
    <s v="CUST0218"/>
    <s v="Consumer"/>
    <s v="Printer Paper"/>
    <s v="Office Supplies"/>
    <s v="North"/>
    <n v="1"/>
    <n v="8.51"/>
    <n v="0.15"/>
    <n v="7.24"/>
    <n v="0.77"/>
    <n v="1.2765"/>
  </r>
  <r>
    <s v="ORD00214"/>
    <d v="2025-12-16T00:00:00"/>
    <s v="CUST0049"/>
    <s v="Corporate"/>
    <s v="Standing Desk"/>
    <s v="Furniture"/>
    <s v="South"/>
    <n v="1"/>
    <n v="314.11"/>
    <n v="0.15"/>
    <n v="267"/>
    <n v="33.049999999999997"/>
    <n v="47.116500000000002"/>
  </r>
  <r>
    <s v="ORD00511"/>
    <d v="2025-12-16T00:00:00"/>
    <s v="CUST0185"/>
    <s v="Small Business"/>
    <s v="Standing Desk"/>
    <s v="Furniture"/>
    <s v="South"/>
    <n v="1"/>
    <n v="321.83999999999997"/>
    <n v="0"/>
    <n v="321.83999999999997"/>
    <n v="62.49"/>
    <n v="0"/>
  </r>
  <r>
    <s v="ORD01021"/>
    <d v="2025-12-16T00:00:00"/>
    <s v="CUST0029"/>
    <s v="Consumer"/>
    <s v="Laptop Pro 14"/>
    <s v="Technology"/>
    <s v="South"/>
    <n v="2"/>
    <n v="982.49"/>
    <n v="0"/>
    <n v="1964.97"/>
    <n v="453.49"/>
    <n v="0"/>
  </r>
  <r>
    <s v="ORD00235"/>
    <d v="2025-12-16T00:00:00"/>
    <s v="CUST0201"/>
    <s v="Consumer"/>
    <s v="Water Bottle"/>
    <s v="Lifestyle"/>
    <s v="East"/>
    <n v="3"/>
    <n v="22.82"/>
    <n v="0"/>
    <n v="68.459999999999994"/>
    <n v="6.43"/>
    <n v="0"/>
  </r>
  <r>
    <s v="ORD01131"/>
    <d v="2025-12-16T00:00:00"/>
    <s v="CUST0173"/>
    <s v="Small Business"/>
    <s v="Office Chair"/>
    <s v="Furniture"/>
    <s v="West"/>
    <n v="1"/>
    <n v="165.73"/>
    <n v="0.15"/>
    <n v="140.87"/>
    <n v="31.22"/>
    <n v="24.859499999999997"/>
  </r>
  <r>
    <s v="ORD00982"/>
    <d v="2025-12-16T00:00:00"/>
    <s v="CUST0081"/>
    <s v="Corporate"/>
    <s v="Backpack"/>
    <s v="Lifestyle"/>
    <s v="West"/>
    <n v="3"/>
    <n v="49.95"/>
    <n v="0.05"/>
    <n v="142.35"/>
    <n v="18.670000000000002"/>
    <n v="7.4925000000000015"/>
  </r>
  <r>
    <s v="ORD00299"/>
    <d v="2025-12-17T00:00:00"/>
    <s v="CUST0174"/>
    <s v="Small Business"/>
    <s v="Backpack"/>
    <s v="Lifestyle"/>
    <s v="East"/>
    <n v="5"/>
    <n v="57.47"/>
    <n v="0"/>
    <n v="287.37"/>
    <n v="53.96"/>
    <n v="0"/>
  </r>
  <r>
    <s v="ORD01146"/>
    <d v="2025-12-17T00:00:00"/>
    <s v="CUST0032"/>
    <s v="Corporate"/>
    <s v="File Organizer"/>
    <s v="Office Supplies"/>
    <s v="West"/>
    <n v="5"/>
    <n v="18.16"/>
    <n v="0.05"/>
    <n v="86.25"/>
    <n v="12.81"/>
    <n v="4.54"/>
  </r>
  <r>
    <s v="ORD00725"/>
    <d v="2025-12-17T00:00:00"/>
    <s v="CUST0163"/>
    <s v="Corporate"/>
    <s v="Desk Lamp"/>
    <s v="Furniture"/>
    <s v="West"/>
    <n v="1"/>
    <n v="42.23"/>
    <n v="0.05"/>
    <n v="40.119999999999997"/>
    <n v="8.1"/>
    <n v="2.1114999999999999"/>
  </r>
  <r>
    <s v="ORD00407"/>
    <d v="2025-12-17T00:00:00"/>
    <s v="CUST0149"/>
    <s v="Small Business"/>
    <s v="Wireless Mouse"/>
    <s v="Technology"/>
    <s v="West"/>
    <n v="1"/>
    <n v="26.72"/>
    <n v="0.1"/>
    <n v="24.05"/>
    <n v="2.41"/>
    <n v="2.6720000000000002"/>
  </r>
  <r>
    <s v="ORD00999"/>
    <d v="2025-12-17T00:00:00"/>
    <s v="CUST0227"/>
    <s v="Small Business"/>
    <s v="Desk Lamp"/>
    <s v="Furniture"/>
    <s v="North"/>
    <n v="2"/>
    <n v="39.159999999999997"/>
    <n v="0.05"/>
    <n v="74.400000000000006"/>
    <n v="15.31"/>
    <n v="3.9159999999999999"/>
  </r>
  <r>
    <s v="ORD00439"/>
    <d v="2025-12-18T00:00:00"/>
    <s v="CUST0095"/>
    <s v="Corporate"/>
    <s v="Desk Lamp"/>
    <s v="Furniture"/>
    <s v="West"/>
    <n v="3"/>
    <n v="44.35"/>
    <n v="0.05"/>
    <n v="126.39"/>
    <n v="8.8000000000000007"/>
    <n v="6.6525000000000007"/>
  </r>
  <r>
    <s v="ORD00323"/>
    <d v="2025-12-18T00:00:00"/>
    <s v="CUST0216"/>
    <s v="Consumer"/>
    <s v="24-inch Monitor"/>
    <s v="Technology"/>
    <s v="South"/>
    <n v="3"/>
    <n v="218.56"/>
    <n v="0"/>
    <n v="655.67"/>
    <n v="179.69"/>
    <n v="0"/>
  </r>
  <r>
    <s v="ORD00272"/>
    <d v="2025-12-18T00:00:00"/>
    <s v="CUST0022"/>
    <s v="Small Business"/>
    <s v="Notebook Set"/>
    <s v="Office Supplies"/>
    <s v="North"/>
    <n v="2"/>
    <n v="14.35"/>
    <n v="0.05"/>
    <n v="27.27"/>
    <n v="7.03"/>
    <n v="1.4350000000000001"/>
  </r>
  <r>
    <s v="ORD00628"/>
    <d v="2025-12-19T00:00:00"/>
    <s v="CUST0289"/>
    <s v="Consumer"/>
    <s v="Backpack"/>
    <s v="Lifestyle"/>
    <s v="North"/>
    <n v="3"/>
    <n v="60.37"/>
    <n v="0.1"/>
    <n v="163.01"/>
    <n v="21.67"/>
    <n v="18.111000000000001"/>
  </r>
  <r>
    <s v="ORD00715"/>
    <d v="2025-12-19T00:00:00"/>
    <s v="CUST0152"/>
    <s v="Consumer"/>
    <s v="Wireless Mouse"/>
    <s v="Technology"/>
    <s v="East"/>
    <n v="3"/>
    <n v="27.84"/>
    <n v="0.05"/>
    <n v="79.33"/>
    <n v="6.42"/>
    <n v="4.1760000000000002"/>
  </r>
  <r>
    <s v="ORD00927"/>
    <d v="2025-12-19T00:00:00"/>
    <s v="CUST0221"/>
    <s v="Consumer"/>
    <s v="Notebook Set"/>
    <s v="Office Supplies"/>
    <s v="West"/>
    <n v="4"/>
    <n v="13.54"/>
    <n v="0.05"/>
    <n v="51.45"/>
    <n v="11.82"/>
    <n v="2.7080000000000002"/>
  </r>
  <r>
    <s v="ORD00972"/>
    <d v="2025-12-20T00:00:00"/>
    <s v="CUST0015"/>
    <s v="Small Business"/>
    <s v="Desk Lamp"/>
    <s v="Furniture"/>
    <s v="West"/>
    <n v="1"/>
    <n v="39.6"/>
    <n v="0.05"/>
    <n v="37.619999999999997"/>
    <n v="5.07"/>
    <n v="1.9800000000000002"/>
  </r>
  <r>
    <s v="ORD00211"/>
    <d v="2025-12-22T00:00:00"/>
    <s v="CUST0251"/>
    <s v="Consumer"/>
    <s v="Mechanical Keyboard"/>
    <s v="Technology"/>
    <s v="South"/>
    <n v="1"/>
    <n v="68.83"/>
    <n v="0.05"/>
    <n v="65.39"/>
    <n v="7.33"/>
    <n v="3.4415"/>
  </r>
  <r>
    <s v="ORD01183"/>
    <d v="2025-12-23T00:00:00"/>
    <s v="CUST0010"/>
    <s v="Consumer"/>
    <s v="Water Bottle"/>
    <s v="Lifestyle"/>
    <s v="North"/>
    <n v="3"/>
    <n v="20.92"/>
    <n v="0"/>
    <n v="62.75"/>
    <n v="12.8"/>
    <n v="0"/>
  </r>
  <r>
    <s v="ORD00897"/>
    <d v="2025-12-23T00:00:00"/>
    <s v="CUST0211"/>
    <s v="Consumer"/>
    <s v="Printer Paper"/>
    <s v="Office Supplies"/>
    <s v="East"/>
    <n v="1"/>
    <n v="9.16"/>
    <n v="0"/>
    <n v="9.16"/>
    <n v="1.69"/>
    <n v="0"/>
  </r>
  <r>
    <s v="ORD00761"/>
    <d v="2025-12-23T00:00:00"/>
    <s v="CUST0009"/>
    <s v="Consumer"/>
    <s v="Desk Lamp"/>
    <s v="Furniture"/>
    <s v="North"/>
    <n v="1"/>
    <n v="40.15"/>
    <n v="0.1"/>
    <n v="36.130000000000003"/>
    <n v="3.46"/>
    <n v="4.0149999999999997"/>
  </r>
  <r>
    <s v="ORD00459"/>
    <d v="2025-12-24T00:00:00"/>
    <s v="CUST0116"/>
    <s v="Small Business"/>
    <s v="Backpack"/>
    <s v="Lifestyle"/>
    <s v="South"/>
    <n v="1"/>
    <n v="50.13"/>
    <n v="0"/>
    <n v="50.13"/>
    <n v="11.7"/>
    <n v="0"/>
  </r>
  <r>
    <s v="ORD01031"/>
    <d v="2025-12-24T00:00:00"/>
    <s v="CUST0294"/>
    <s v="Consumer"/>
    <s v="Wireless Mouse"/>
    <s v="Technology"/>
    <s v="North"/>
    <n v="2"/>
    <n v="30.52"/>
    <n v="0"/>
    <n v="61.05"/>
    <n v="16.850000000000001"/>
    <n v="0"/>
  </r>
  <r>
    <s v="ORD00863"/>
    <d v="2025-12-24T00:00:00"/>
    <s v="CUST0128"/>
    <s v="Small Business"/>
    <s v="Wireless Mouse"/>
    <s v="Technology"/>
    <s v="West"/>
    <n v="1"/>
    <n v="28.48"/>
    <n v="0.1"/>
    <n v="25.64"/>
    <n v="2.63"/>
    <n v="2.8480000000000003"/>
  </r>
  <r>
    <s v="ORD00782"/>
    <d v="2025-12-25T00:00:00"/>
    <s v="CUST0231"/>
    <s v="Small Business"/>
    <s v="File Organizer"/>
    <s v="Office Supplies"/>
    <s v="North"/>
    <n v="1"/>
    <n v="17.78"/>
    <n v="0.05"/>
    <n v="16.89"/>
    <n v="3.74"/>
    <n v="0.88900000000000012"/>
  </r>
  <r>
    <s v="ORD01159"/>
    <d v="2025-12-25T00:00:00"/>
    <s v="CUST0258"/>
    <s v="Consumer"/>
    <s v="Notebook Set"/>
    <s v="Office Supplies"/>
    <s v="East"/>
    <n v="1"/>
    <n v="12.8"/>
    <n v="0.05"/>
    <n v="12.16"/>
    <n v="2.8"/>
    <n v="0.64000000000000012"/>
  </r>
  <r>
    <s v="ORD00102"/>
    <d v="2025-12-25T00:00:00"/>
    <s v="CUST0146"/>
    <s v="Small Business"/>
    <s v="Printer Paper"/>
    <s v="Office Supplies"/>
    <s v="North"/>
    <n v="5"/>
    <n v="8.41"/>
    <n v="0.05"/>
    <n v="39.94"/>
    <n v="5.07"/>
    <n v="2.1025"/>
  </r>
  <r>
    <s v="ORD00002"/>
    <d v="2025-12-26T00:00:00"/>
    <s v="CUST0022"/>
    <s v="Consumer"/>
    <s v="Notebook Set"/>
    <s v="Office Supplies"/>
    <s v="East"/>
    <n v="3"/>
    <n v="12.6"/>
    <n v="0.15"/>
    <n v="32.14"/>
    <n v="7.78"/>
    <n v="5.669999999999999"/>
  </r>
  <r>
    <s v="ORD00491"/>
    <d v="2025-12-26T00:00:00"/>
    <s v="CUST0287"/>
    <s v="Consumer"/>
    <s v="Desk Lamp"/>
    <s v="Furniture"/>
    <s v="South"/>
    <n v="2"/>
    <n v="38.369999999999997"/>
    <n v="0.05"/>
    <n v="72.900000000000006"/>
    <n v="17.309999999999999"/>
    <n v="3.8369999999999997"/>
  </r>
  <r>
    <s v="ORD00330"/>
    <d v="2025-12-27T00:00:00"/>
    <s v="CUST0082"/>
    <s v="Consumer"/>
    <s v="Printer Paper"/>
    <s v="Office Supplies"/>
    <s v="North"/>
    <n v="5"/>
    <n v="9.09"/>
    <n v="0"/>
    <n v="45.43"/>
    <n v="12.53"/>
    <n v="0"/>
  </r>
  <r>
    <s v="ORD00993"/>
    <d v="2025-12-27T00:00:00"/>
    <s v="CUST0125"/>
    <s v="Corporate"/>
    <s v="Office Chair"/>
    <s v="Furniture"/>
    <s v="South"/>
    <n v="2"/>
    <n v="166.85"/>
    <n v="0.05"/>
    <n v="317.02"/>
    <n v="54.04"/>
    <n v="16.684999999999999"/>
  </r>
  <r>
    <s v="ORD01075"/>
    <d v="2025-12-27T00:00:00"/>
    <s v="CUST0144"/>
    <s v="Consumer"/>
    <s v="24-inch Monitor"/>
    <s v="Technology"/>
    <s v="South"/>
    <n v="2"/>
    <n v="203.43"/>
    <n v="0.15"/>
    <n v="345.83"/>
    <n v="79.44"/>
    <n v="61.028999999999996"/>
  </r>
  <r>
    <s v="ORD00773"/>
    <d v="2025-12-28T00:00:00"/>
    <s v="CUST0278"/>
    <s v="Corporate"/>
    <s v="Backpack"/>
    <s v="Lifestyle"/>
    <s v="North"/>
    <n v="2"/>
    <n v="55.92"/>
    <n v="0.1"/>
    <n v="100.66"/>
    <n v="7.05"/>
    <n v="11.184000000000001"/>
  </r>
  <r>
    <s v="ORD00975"/>
    <d v="2025-12-29T00:00:00"/>
    <s v="CUST0273"/>
    <s v="Corporate"/>
    <s v="Printer Paper"/>
    <s v="Office Supplies"/>
    <s v="East"/>
    <n v="2"/>
    <n v="9.35"/>
    <n v="0"/>
    <n v="18.71"/>
    <n v="2.9"/>
    <n v="0"/>
  </r>
  <r>
    <s v="ORD00127"/>
    <d v="2025-12-29T00:00:00"/>
    <s v="CUST0046"/>
    <s v="Consumer"/>
    <s v="Office Chair"/>
    <s v="Furniture"/>
    <s v="East"/>
    <n v="3"/>
    <n v="180.27"/>
    <n v="0.15"/>
    <n v="459.69"/>
    <n v="24.05"/>
    <n v="81.121500000000012"/>
  </r>
  <r>
    <s v="ORD00947"/>
    <d v="2025-12-30T00:00:00"/>
    <s v="CUST0091"/>
    <s v="Small Business"/>
    <s v="Laptop Pro 14"/>
    <s v="Technology"/>
    <s v="West"/>
    <n v="2"/>
    <n v="895.61"/>
    <n v="0.1"/>
    <n v="1612.1"/>
    <n v="306.45"/>
    <n v="179.12200000000001"/>
  </r>
  <r>
    <s v="ORD00004"/>
    <d v="2025-12-30T00:00:00"/>
    <s v="CUST0014"/>
    <s v="Consumer"/>
    <s v="Desk Lamp"/>
    <s v="Furniture"/>
    <s v="West"/>
    <n v="4"/>
    <n v="41.58"/>
    <n v="0.1"/>
    <n v="149.69999999999999"/>
    <n v="8.01"/>
    <n v="16.632000000000001"/>
  </r>
  <r>
    <s v="ORD00668"/>
    <d v="2025-12-30T00:00:00"/>
    <s v="CUST0048"/>
    <s v="Corporate"/>
    <s v="Backpack"/>
    <s v="Lifestyle"/>
    <s v="North"/>
    <n v="2"/>
    <n v="51.73"/>
    <n v="0.1"/>
    <n v="93.12"/>
    <n v="18.55"/>
    <n v="10.346"/>
  </r>
  <r>
    <s v="ORD01198"/>
    <d v="2025-12-30T00:00:00"/>
    <s v="CUST0164"/>
    <s v="Consumer"/>
    <s v="Office Chair"/>
    <s v="Furniture"/>
    <s v="South"/>
    <n v="1"/>
    <n v="166.8"/>
    <n v="0"/>
    <n v="166.8"/>
    <n v="35.18"/>
    <n v="0"/>
  </r>
  <r>
    <s v="ORD00956"/>
    <d v="2025-12-30T00:00:00"/>
    <s v="CUST0199"/>
    <s v="Corporate"/>
    <s v="Desk Lamp"/>
    <s v="Furniture"/>
    <s v="West"/>
    <n v="4"/>
    <n v="44.25"/>
    <n v="0.05"/>
    <n v="168.15"/>
    <n v="13.4"/>
    <n v="8.85"/>
  </r>
  <r>
    <s v="ORD00532"/>
    <d v="2025-12-31T00:00:00"/>
    <s v="CUST0047"/>
    <s v="Consumer"/>
    <s v="Laptop Pro 14"/>
    <s v="Technology"/>
    <s v="North"/>
    <n v="4"/>
    <n v="925.7"/>
    <n v="0"/>
    <n v="3702.78"/>
    <n v="858.91"/>
    <n v="0"/>
  </r>
  <r>
    <s v="ORD00265"/>
    <d v="2025-12-31T00:00:00"/>
    <s v="CUST0021"/>
    <s v="Small Business"/>
    <s v="Standing Desk"/>
    <s v="Furniture"/>
    <s v="North"/>
    <n v="1"/>
    <n v="343.79"/>
    <n v="0.15"/>
    <n v="292.23"/>
    <n v="23.82"/>
    <n v="51.5685"/>
  </r>
  <r>
    <s v="ORD00838"/>
    <d v="2025-12-31T00:00:00"/>
    <s v="CUST0075"/>
    <s v="Small Business"/>
    <s v="Mechanical Keyboard"/>
    <s v="Technology"/>
    <s v="East"/>
    <n v="1"/>
    <n v="81.05"/>
    <n v="0.1"/>
    <n v="72.94"/>
    <n v="6.67"/>
    <n v="8.1050000000000004"/>
  </r>
  <r>
    <s v="ORD00034"/>
    <d v="2025-12-31T00:00:00"/>
    <s v="CUST0120"/>
    <s v="Corporate"/>
    <s v="24-inch Monitor"/>
    <s v="Technology"/>
    <s v="South"/>
    <n v="1"/>
    <n v="229.72"/>
    <n v="0"/>
    <n v="229.72"/>
    <n v="51.2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4F365-613D-4040-9AE5-E7A0F32CE99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31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 sortType="ascending">
      <items count="13">
        <item x="4"/>
        <item x="5"/>
        <item x="3"/>
        <item x="9"/>
        <item x="6"/>
        <item x="2"/>
        <item x="0"/>
        <item x="1"/>
        <item x="10"/>
        <item x="8"/>
        <item x="11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0" baseField="0" baseItem="0" numFmtId="44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5AAC5-806F-4A97-9CB0-3CC9A119294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6" baseItem="0" numFmtId="44"/>
  </dataFields>
  <formats count="1">
    <format dxfId="14">
      <pivotArea outline="0" collapsedLevelsAreSubtotals="1" fieldPosition="0"/>
    </format>
  </formats>
  <chartFormats count="5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F89F2-9D6A-4B0E-B855-23DFF142CC1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B6" firstHeaderRow="1" firstDataRow="1" firstDataCol="0"/>
  <pivotFields count="13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</pivotFields>
  <rowItems count="1">
    <i/>
  </rowItems>
  <colItems count="1">
    <i/>
  </colItems>
  <dataFields count="1">
    <dataField name="Sum of Profit" fld="11" baseField="0" baseItem="0" numFmtId="44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01575-788B-478D-AC48-D7CFDBBD2C2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B15" firstHeaderRow="1" firstDataRow="1" firstDataCol="0"/>
  <pivotFields count="13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Discount amount" fld="12" baseField="0" baseItem="1195085960" numFmtId="44"/>
  </dataFields>
  <formats count="4"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BD85D3-BBA1-41DC-9D15-F14E435B05F3}" name="Table4" displayName="Table4" ref="A12:B13" totalsRowShown="0">
  <autoFilter ref="A12:B13" xr:uid="{E3BD85D3-BBA1-41DC-9D15-F14E435B05F3}"/>
  <tableColumns count="2">
    <tableColumn id="1" xr3:uid="{9EF3AA42-5E40-409D-A077-E0C9812AD48A}" name="Column1" dataDxfId="12"/>
    <tableColumn id="2" xr3:uid="{BB03399E-12C5-43F6-A1C9-A2014FA59B72}" name="Column2" dataDxfId="11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A659E7-C3A0-4BA4-AECD-6B952A70B5AD}" name="Table52" displayName="Table52" ref="D30:E31" totalsRowShown="0" headerRowBorderDxfId="10" tableBorderDxfId="9" totalsRowBorderDxfId="8">
  <autoFilter ref="D30:E31" xr:uid="{C0A659E7-C3A0-4BA4-AECD-6B952A70B5AD}"/>
  <tableColumns count="2">
    <tableColumn id="1" xr3:uid="{B193E21E-0849-4955-B36C-CD221063EF14}" name="Column1" dataDxfId="7"/>
    <tableColumn id="3" xr3:uid="{098894E1-593D-49F1-99CA-1AE2319BA403}" name="Column3" dataDxfId="6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75D9-2659-49C0-AE59-4584ED78F977}">
  <dimension ref="A1:M1214"/>
  <sheetViews>
    <sheetView zoomScale="85" zoomScaleNormal="85" workbookViewId="0">
      <selection activeCell="M8" sqref="M8"/>
    </sheetView>
  </sheetViews>
  <sheetFormatPr defaultRowHeight="14.4" x14ac:dyDescent="0.3"/>
  <cols>
    <col min="1" max="1" width="10.109375" customWidth="1"/>
    <col min="2" max="2" width="18.109375" bestFit="1" customWidth="1"/>
    <col min="3" max="3" width="11.5546875" customWidth="1"/>
    <col min="4" max="4" width="19" customWidth="1"/>
    <col min="5" max="5" width="19.77734375" customWidth="1"/>
    <col min="6" max="6" width="15.6640625" customWidth="1"/>
    <col min="7" max="7" width="10.21875" customWidth="1"/>
    <col min="9" max="9" width="12.77734375" customWidth="1"/>
    <col min="10" max="10" width="10.77734375" customWidth="1"/>
    <col min="11" max="11" width="13.5546875" customWidth="1"/>
    <col min="12" max="12" width="10.33203125" customWidth="1"/>
    <col min="13" max="13" width="11.77734375" customWidth="1"/>
  </cols>
  <sheetData>
    <row r="1" spans="1:13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1537</v>
      </c>
    </row>
    <row r="2" spans="1:13" x14ac:dyDescent="0.3">
      <c r="A2" t="s">
        <v>12</v>
      </c>
      <c r="B2" s="1">
        <v>45658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 s="12">
        <v>14.59</v>
      </c>
      <c r="J2" s="12">
        <v>0.1</v>
      </c>
      <c r="K2" s="9">
        <v>13.13</v>
      </c>
      <c r="L2" s="9">
        <v>1.32</v>
      </c>
      <c r="M2" s="9">
        <f>H2*I2*J2</f>
        <v>1.4590000000000001</v>
      </c>
    </row>
    <row r="3" spans="1:13" x14ac:dyDescent="0.3">
      <c r="A3" t="s">
        <v>18</v>
      </c>
      <c r="B3" s="1">
        <v>45658</v>
      </c>
      <c r="C3" t="s">
        <v>19</v>
      </c>
      <c r="D3" t="s">
        <v>14</v>
      </c>
      <c r="E3" t="s">
        <v>20</v>
      </c>
      <c r="F3" t="s">
        <v>21</v>
      </c>
      <c r="G3" t="s">
        <v>22</v>
      </c>
      <c r="H3">
        <v>3</v>
      </c>
      <c r="I3" s="12">
        <v>196.51</v>
      </c>
      <c r="J3" s="12">
        <v>0.15</v>
      </c>
      <c r="K3" s="9">
        <v>501.11</v>
      </c>
      <c r="L3" s="9">
        <v>30.16</v>
      </c>
      <c r="M3" s="9">
        <f t="shared" ref="M3:M66" si="0">H3*I3*J3</f>
        <v>88.42949999999999</v>
      </c>
    </row>
    <row r="4" spans="1:13" x14ac:dyDescent="0.3">
      <c r="A4" t="s">
        <v>23</v>
      </c>
      <c r="B4" s="1">
        <v>45658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3</v>
      </c>
      <c r="I4" s="12">
        <v>72.73</v>
      </c>
      <c r="J4" s="12">
        <v>0.05</v>
      </c>
      <c r="K4" s="9">
        <v>207.28</v>
      </c>
      <c r="L4" s="9">
        <v>20.69</v>
      </c>
      <c r="M4" s="9">
        <f t="shared" si="0"/>
        <v>10.909500000000001</v>
      </c>
    </row>
    <row r="5" spans="1:13" x14ac:dyDescent="0.3">
      <c r="A5" t="s">
        <v>29</v>
      </c>
      <c r="B5" s="1">
        <v>45658</v>
      </c>
      <c r="C5" t="s">
        <v>30</v>
      </c>
      <c r="D5" t="s">
        <v>25</v>
      </c>
      <c r="E5" t="s">
        <v>31</v>
      </c>
      <c r="F5" t="s">
        <v>21</v>
      </c>
      <c r="G5" t="s">
        <v>32</v>
      </c>
      <c r="H5">
        <v>1</v>
      </c>
      <c r="I5" s="12">
        <v>38.24</v>
      </c>
      <c r="J5" s="12">
        <v>0</v>
      </c>
      <c r="K5" s="9">
        <v>38.24</v>
      </c>
      <c r="L5" s="9">
        <v>4.1500000000000004</v>
      </c>
      <c r="M5" s="9">
        <f t="shared" si="0"/>
        <v>0</v>
      </c>
    </row>
    <row r="6" spans="1:13" x14ac:dyDescent="0.3">
      <c r="A6" t="s">
        <v>33</v>
      </c>
      <c r="B6" s="1">
        <v>45658</v>
      </c>
      <c r="C6" t="s">
        <v>34</v>
      </c>
      <c r="D6" t="s">
        <v>14</v>
      </c>
      <c r="E6" t="s">
        <v>26</v>
      </c>
      <c r="F6" t="s">
        <v>27</v>
      </c>
      <c r="G6" t="s">
        <v>17</v>
      </c>
      <c r="H6">
        <v>2</v>
      </c>
      <c r="I6" s="12">
        <v>76.98</v>
      </c>
      <c r="J6" s="12">
        <v>0.05</v>
      </c>
      <c r="K6" s="9">
        <v>146.26</v>
      </c>
      <c r="L6" s="9">
        <v>17.079999999999998</v>
      </c>
      <c r="M6" s="9">
        <f t="shared" si="0"/>
        <v>7.6980000000000004</v>
      </c>
    </row>
    <row r="7" spans="1:13" x14ac:dyDescent="0.3">
      <c r="A7" t="s">
        <v>35</v>
      </c>
      <c r="B7" s="1">
        <v>45658</v>
      </c>
      <c r="C7" t="s">
        <v>36</v>
      </c>
      <c r="D7" t="s">
        <v>14</v>
      </c>
      <c r="E7" t="s">
        <v>37</v>
      </c>
      <c r="F7" t="s">
        <v>27</v>
      </c>
      <c r="G7" t="s">
        <v>22</v>
      </c>
      <c r="H7">
        <v>1</v>
      </c>
      <c r="I7" s="12">
        <v>223.2</v>
      </c>
      <c r="J7" s="12">
        <v>0.05</v>
      </c>
      <c r="K7" s="9">
        <v>212.04</v>
      </c>
      <c r="L7" s="9">
        <v>31.37</v>
      </c>
      <c r="M7" s="9">
        <f t="shared" si="0"/>
        <v>11.16</v>
      </c>
    </row>
    <row r="8" spans="1:13" x14ac:dyDescent="0.3">
      <c r="A8" t="s">
        <v>38</v>
      </c>
      <c r="B8" s="1">
        <v>45658</v>
      </c>
      <c r="C8" t="s">
        <v>39</v>
      </c>
      <c r="D8" t="s">
        <v>40</v>
      </c>
      <c r="E8" t="s">
        <v>41</v>
      </c>
      <c r="F8" t="s">
        <v>42</v>
      </c>
      <c r="G8" t="s">
        <v>17</v>
      </c>
      <c r="H8">
        <v>3</v>
      </c>
      <c r="I8" s="12">
        <v>55</v>
      </c>
      <c r="J8" s="12">
        <v>0.2</v>
      </c>
      <c r="K8" s="9">
        <v>131.99</v>
      </c>
      <c r="L8" s="9">
        <v>7.81</v>
      </c>
      <c r="M8" s="9">
        <f t="shared" si="0"/>
        <v>33</v>
      </c>
    </row>
    <row r="9" spans="1:13" x14ac:dyDescent="0.3">
      <c r="A9" t="s">
        <v>43</v>
      </c>
      <c r="B9" s="1">
        <v>45659</v>
      </c>
      <c r="C9" t="s">
        <v>44</v>
      </c>
      <c r="D9" t="s">
        <v>14</v>
      </c>
      <c r="E9" t="s">
        <v>31</v>
      </c>
      <c r="F9" t="s">
        <v>21</v>
      </c>
      <c r="G9" t="s">
        <v>22</v>
      </c>
      <c r="H9">
        <v>3</v>
      </c>
      <c r="I9" s="12">
        <v>43.31</v>
      </c>
      <c r="J9" s="12">
        <v>0</v>
      </c>
      <c r="K9" s="9">
        <v>129.93</v>
      </c>
      <c r="L9" s="9">
        <v>19.260000000000002</v>
      </c>
      <c r="M9" s="9">
        <f t="shared" si="0"/>
        <v>0</v>
      </c>
    </row>
    <row r="10" spans="1:13" x14ac:dyDescent="0.3">
      <c r="A10" t="s">
        <v>45</v>
      </c>
      <c r="B10" s="1">
        <v>45659</v>
      </c>
      <c r="C10" t="s">
        <v>46</v>
      </c>
      <c r="D10" t="s">
        <v>14</v>
      </c>
      <c r="E10" t="s">
        <v>15</v>
      </c>
      <c r="F10" t="s">
        <v>16</v>
      </c>
      <c r="G10" t="s">
        <v>28</v>
      </c>
      <c r="H10">
        <v>2</v>
      </c>
      <c r="I10" s="12">
        <v>14.91</v>
      </c>
      <c r="J10" s="12">
        <v>0.1</v>
      </c>
      <c r="K10" s="9">
        <v>26.84</v>
      </c>
      <c r="L10" s="9">
        <v>1.85</v>
      </c>
      <c r="M10" s="9">
        <f t="shared" si="0"/>
        <v>2.9820000000000002</v>
      </c>
    </row>
    <row r="11" spans="1:13" x14ac:dyDescent="0.3">
      <c r="A11" t="s">
        <v>47</v>
      </c>
      <c r="B11" s="1">
        <v>45659</v>
      </c>
      <c r="C11" t="s">
        <v>48</v>
      </c>
      <c r="D11" t="s">
        <v>14</v>
      </c>
      <c r="E11" t="s">
        <v>31</v>
      </c>
      <c r="F11" t="s">
        <v>21</v>
      </c>
      <c r="G11" t="s">
        <v>22</v>
      </c>
      <c r="H11">
        <v>5</v>
      </c>
      <c r="I11" s="12">
        <v>43.8</v>
      </c>
      <c r="J11" s="12">
        <v>0.15</v>
      </c>
      <c r="K11" s="9">
        <v>186.13</v>
      </c>
      <c r="L11" s="9">
        <v>38.36</v>
      </c>
      <c r="M11" s="9">
        <f t="shared" si="0"/>
        <v>32.85</v>
      </c>
    </row>
    <row r="12" spans="1:13" x14ac:dyDescent="0.3">
      <c r="A12" t="s">
        <v>49</v>
      </c>
      <c r="B12" s="1">
        <v>45659</v>
      </c>
      <c r="C12" t="s">
        <v>50</v>
      </c>
      <c r="D12" t="s">
        <v>25</v>
      </c>
      <c r="E12" t="s">
        <v>51</v>
      </c>
      <c r="F12" t="s">
        <v>27</v>
      </c>
      <c r="G12" t="s">
        <v>28</v>
      </c>
      <c r="H12">
        <v>2</v>
      </c>
      <c r="I12" s="12">
        <v>1018.29</v>
      </c>
      <c r="J12" s="12">
        <v>0</v>
      </c>
      <c r="K12" s="9">
        <v>2036.58</v>
      </c>
      <c r="L12" s="9">
        <v>488.69</v>
      </c>
      <c r="M12" s="9">
        <f t="shared" si="0"/>
        <v>0</v>
      </c>
    </row>
    <row r="13" spans="1:13" x14ac:dyDescent="0.3">
      <c r="A13" t="s">
        <v>52</v>
      </c>
      <c r="B13" s="1">
        <v>45659</v>
      </c>
      <c r="C13" t="s">
        <v>53</v>
      </c>
      <c r="D13" t="s">
        <v>25</v>
      </c>
      <c r="E13" t="s">
        <v>54</v>
      </c>
      <c r="F13" t="s">
        <v>27</v>
      </c>
      <c r="G13" t="s">
        <v>17</v>
      </c>
      <c r="H13">
        <v>2</v>
      </c>
      <c r="I13" s="12">
        <v>26.72</v>
      </c>
      <c r="J13" s="12">
        <v>0.1</v>
      </c>
      <c r="K13" s="9">
        <v>48.1</v>
      </c>
      <c r="L13" s="9">
        <v>9.6</v>
      </c>
      <c r="M13" s="9">
        <f t="shared" si="0"/>
        <v>5.3440000000000003</v>
      </c>
    </row>
    <row r="14" spans="1:13" x14ac:dyDescent="0.3">
      <c r="A14" t="s">
        <v>55</v>
      </c>
      <c r="B14" s="1">
        <v>45660</v>
      </c>
      <c r="C14" t="s">
        <v>19</v>
      </c>
      <c r="D14" t="s">
        <v>14</v>
      </c>
      <c r="E14" t="s">
        <v>56</v>
      </c>
      <c r="F14" t="s">
        <v>21</v>
      </c>
      <c r="G14" t="s">
        <v>17</v>
      </c>
      <c r="H14">
        <v>1</v>
      </c>
      <c r="I14" s="12">
        <v>361.76</v>
      </c>
      <c r="J14" s="12">
        <v>0.15</v>
      </c>
      <c r="K14" s="9">
        <v>307.49</v>
      </c>
      <c r="L14" s="9">
        <v>60.55</v>
      </c>
      <c r="M14" s="9">
        <f t="shared" si="0"/>
        <v>54.263999999999996</v>
      </c>
    </row>
    <row r="15" spans="1:13" x14ac:dyDescent="0.3">
      <c r="A15" t="s">
        <v>57</v>
      </c>
      <c r="B15" s="1">
        <v>45660</v>
      </c>
      <c r="C15" t="s">
        <v>58</v>
      </c>
      <c r="D15" t="s">
        <v>40</v>
      </c>
      <c r="E15" t="s">
        <v>51</v>
      </c>
      <c r="F15" t="s">
        <v>27</v>
      </c>
      <c r="G15" t="s">
        <v>22</v>
      </c>
      <c r="H15">
        <v>2</v>
      </c>
      <c r="I15" s="12">
        <v>949.29</v>
      </c>
      <c r="J15" s="12">
        <v>0.15</v>
      </c>
      <c r="K15" s="9">
        <v>1613.79</v>
      </c>
      <c r="L15" s="9">
        <v>209.69</v>
      </c>
      <c r="M15" s="9">
        <f t="shared" si="0"/>
        <v>284.78699999999998</v>
      </c>
    </row>
    <row r="16" spans="1:13" x14ac:dyDescent="0.3">
      <c r="A16" t="s">
        <v>59</v>
      </c>
      <c r="B16" s="1">
        <v>45660</v>
      </c>
      <c r="C16" t="s">
        <v>60</v>
      </c>
      <c r="D16" t="s">
        <v>25</v>
      </c>
      <c r="E16" t="s">
        <v>15</v>
      </c>
      <c r="F16" t="s">
        <v>16</v>
      </c>
      <c r="G16" t="s">
        <v>17</v>
      </c>
      <c r="H16">
        <v>1</v>
      </c>
      <c r="I16" s="12">
        <v>14.63</v>
      </c>
      <c r="J16" s="12">
        <v>0.1</v>
      </c>
      <c r="K16" s="9">
        <v>13.17</v>
      </c>
      <c r="L16" s="9">
        <v>2.87</v>
      </c>
      <c r="M16" s="9">
        <f t="shared" si="0"/>
        <v>1.4630000000000001</v>
      </c>
    </row>
    <row r="17" spans="1:13" x14ac:dyDescent="0.3">
      <c r="A17" t="s">
        <v>61</v>
      </c>
      <c r="B17" s="1">
        <v>45661</v>
      </c>
      <c r="C17" t="s">
        <v>62</v>
      </c>
      <c r="D17" t="s">
        <v>14</v>
      </c>
      <c r="E17" t="s">
        <v>26</v>
      </c>
      <c r="F17" t="s">
        <v>27</v>
      </c>
      <c r="G17" t="s">
        <v>28</v>
      </c>
      <c r="H17">
        <v>5</v>
      </c>
      <c r="I17" s="12">
        <v>71.69</v>
      </c>
      <c r="J17" s="12">
        <v>0.05</v>
      </c>
      <c r="K17" s="9">
        <v>340.54</v>
      </c>
      <c r="L17" s="9">
        <v>82.95</v>
      </c>
      <c r="M17" s="9">
        <f t="shared" si="0"/>
        <v>17.922499999999999</v>
      </c>
    </row>
    <row r="18" spans="1:13" x14ac:dyDescent="0.3">
      <c r="A18" t="s">
        <v>63</v>
      </c>
      <c r="B18" s="1">
        <v>45661</v>
      </c>
      <c r="C18" t="s">
        <v>64</v>
      </c>
      <c r="D18" t="s">
        <v>14</v>
      </c>
      <c r="E18" t="s">
        <v>65</v>
      </c>
      <c r="F18" t="s">
        <v>16</v>
      </c>
      <c r="G18" t="s">
        <v>28</v>
      </c>
      <c r="H18">
        <v>2</v>
      </c>
      <c r="I18" s="12">
        <v>18.52</v>
      </c>
      <c r="J18" s="12">
        <v>0.1</v>
      </c>
      <c r="K18" s="9">
        <v>33.340000000000003</v>
      </c>
      <c r="L18" s="9">
        <v>5.52</v>
      </c>
      <c r="M18" s="9">
        <f t="shared" si="0"/>
        <v>3.7040000000000002</v>
      </c>
    </row>
    <row r="19" spans="1:13" x14ac:dyDescent="0.3">
      <c r="A19" t="s">
        <v>66</v>
      </c>
      <c r="B19" s="1">
        <v>45661</v>
      </c>
      <c r="C19" t="s">
        <v>34</v>
      </c>
      <c r="D19" t="s">
        <v>40</v>
      </c>
      <c r="E19" t="s">
        <v>56</v>
      </c>
      <c r="F19" t="s">
        <v>21</v>
      </c>
      <c r="G19" t="s">
        <v>17</v>
      </c>
      <c r="H19">
        <v>4</v>
      </c>
      <c r="I19" s="12">
        <v>312.38</v>
      </c>
      <c r="J19" s="12">
        <v>0.1</v>
      </c>
      <c r="K19" s="9">
        <v>1124.55</v>
      </c>
      <c r="L19" s="9">
        <v>63.91</v>
      </c>
      <c r="M19" s="9">
        <f t="shared" si="0"/>
        <v>124.952</v>
      </c>
    </row>
    <row r="20" spans="1:13" x14ac:dyDescent="0.3">
      <c r="A20" t="s">
        <v>67</v>
      </c>
      <c r="B20" s="1">
        <v>45662</v>
      </c>
      <c r="C20" t="s">
        <v>68</v>
      </c>
      <c r="D20" t="s">
        <v>40</v>
      </c>
      <c r="E20" t="s">
        <v>41</v>
      </c>
      <c r="F20" t="s">
        <v>42</v>
      </c>
      <c r="G20" t="s">
        <v>32</v>
      </c>
      <c r="H20">
        <v>4</v>
      </c>
      <c r="I20" s="12">
        <v>55.36</v>
      </c>
      <c r="J20" s="12">
        <v>0.1</v>
      </c>
      <c r="K20" s="9">
        <v>199.31</v>
      </c>
      <c r="L20" s="9">
        <v>24.89</v>
      </c>
      <c r="M20" s="9">
        <f t="shared" si="0"/>
        <v>22.144000000000002</v>
      </c>
    </row>
    <row r="21" spans="1:13" x14ac:dyDescent="0.3">
      <c r="A21" t="s">
        <v>69</v>
      </c>
      <c r="B21" s="1">
        <v>45662</v>
      </c>
      <c r="C21" t="s">
        <v>70</v>
      </c>
      <c r="D21" t="s">
        <v>40</v>
      </c>
      <c r="E21" t="s">
        <v>54</v>
      </c>
      <c r="F21" t="s">
        <v>27</v>
      </c>
      <c r="G21" t="s">
        <v>22</v>
      </c>
      <c r="H21">
        <v>1</v>
      </c>
      <c r="I21" s="12">
        <v>29.75</v>
      </c>
      <c r="J21" s="12">
        <v>0.15</v>
      </c>
      <c r="K21" s="9">
        <v>25.29</v>
      </c>
      <c r="L21" s="9">
        <v>1.57</v>
      </c>
      <c r="M21" s="9">
        <f t="shared" si="0"/>
        <v>4.4624999999999995</v>
      </c>
    </row>
    <row r="22" spans="1:13" x14ac:dyDescent="0.3">
      <c r="A22" t="s">
        <v>71</v>
      </c>
      <c r="B22" s="1">
        <v>45663</v>
      </c>
      <c r="C22" t="s">
        <v>72</v>
      </c>
      <c r="D22" t="s">
        <v>25</v>
      </c>
      <c r="E22" t="s">
        <v>41</v>
      </c>
      <c r="F22" t="s">
        <v>42</v>
      </c>
      <c r="G22" t="s">
        <v>17</v>
      </c>
      <c r="H22">
        <v>2</v>
      </c>
      <c r="I22" s="12">
        <v>53.72</v>
      </c>
      <c r="J22" s="12">
        <v>0</v>
      </c>
      <c r="K22" s="9">
        <v>107.45</v>
      </c>
      <c r="L22" s="9">
        <v>18.149999999999999</v>
      </c>
      <c r="M22" s="9">
        <f t="shared" si="0"/>
        <v>0</v>
      </c>
    </row>
    <row r="23" spans="1:13" x14ac:dyDescent="0.3">
      <c r="A23" t="s">
        <v>73</v>
      </c>
      <c r="B23" s="1">
        <v>45664</v>
      </c>
      <c r="C23" t="s">
        <v>74</v>
      </c>
      <c r="D23" t="s">
        <v>40</v>
      </c>
      <c r="E23" t="s">
        <v>54</v>
      </c>
      <c r="F23" t="s">
        <v>27</v>
      </c>
      <c r="G23" t="s">
        <v>32</v>
      </c>
      <c r="H23">
        <v>1</v>
      </c>
      <c r="I23" s="12">
        <v>25.99</v>
      </c>
      <c r="J23" s="12">
        <v>0.2</v>
      </c>
      <c r="K23" s="9">
        <v>20.8</v>
      </c>
      <c r="L23" s="9">
        <v>1.79</v>
      </c>
      <c r="M23" s="9">
        <f t="shared" si="0"/>
        <v>5.1980000000000004</v>
      </c>
    </row>
    <row r="24" spans="1:13" x14ac:dyDescent="0.3">
      <c r="A24" t="s">
        <v>75</v>
      </c>
      <c r="B24" s="1">
        <v>45665</v>
      </c>
      <c r="C24" t="s">
        <v>76</v>
      </c>
      <c r="D24" t="s">
        <v>14</v>
      </c>
      <c r="E24" t="s">
        <v>65</v>
      </c>
      <c r="F24" t="s">
        <v>16</v>
      </c>
      <c r="G24" t="s">
        <v>32</v>
      </c>
      <c r="H24">
        <v>1</v>
      </c>
      <c r="I24" s="12">
        <v>16.48</v>
      </c>
      <c r="J24" s="12">
        <v>0.05</v>
      </c>
      <c r="K24" s="9">
        <v>15.66</v>
      </c>
      <c r="L24" s="9">
        <v>4.07</v>
      </c>
      <c r="M24" s="9">
        <f t="shared" si="0"/>
        <v>0.82400000000000007</v>
      </c>
    </row>
    <row r="25" spans="1:13" x14ac:dyDescent="0.3">
      <c r="A25" t="s">
        <v>77</v>
      </c>
      <c r="B25" s="1">
        <v>45665</v>
      </c>
      <c r="C25" t="s">
        <v>78</v>
      </c>
      <c r="D25" t="s">
        <v>40</v>
      </c>
      <c r="E25" t="s">
        <v>54</v>
      </c>
      <c r="F25" t="s">
        <v>27</v>
      </c>
      <c r="G25" t="s">
        <v>32</v>
      </c>
      <c r="H25">
        <v>1</v>
      </c>
      <c r="I25" s="12">
        <v>30.59</v>
      </c>
      <c r="J25" s="12">
        <v>0</v>
      </c>
      <c r="K25" s="9">
        <v>30.59</v>
      </c>
      <c r="L25" s="9">
        <v>4.01</v>
      </c>
      <c r="M25" s="9">
        <f t="shared" si="0"/>
        <v>0</v>
      </c>
    </row>
    <row r="26" spans="1:13" x14ac:dyDescent="0.3">
      <c r="A26" t="s">
        <v>79</v>
      </c>
      <c r="B26" s="1">
        <v>45666</v>
      </c>
      <c r="C26" t="s">
        <v>80</v>
      </c>
      <c r="D26" t="s">
        <v>40</v>
      </c>
      <c r="E26" t="s">
        <v>56</v>
      </c>
      <c r="F26" t="s">
        <v>21</v>
      </c>
      <c r="G26" t="s">
        <v>22</v>
      </c>
      <c r="H26">
        <v>1</v>
      </c>
      <c r="I26" s="12">
        <v>359.53</v>
      </c>
      <c r="J26" s="12">
        <v>0.15</v>
      </c>
      <c r="K26" s="9">
        <v>305.60000000000002</v>
      </c>
      <c r="L26" s="9">
        <v>50.4</v>
      </c>
      <c r="M26" s="9">
        <f t="shared" si="0"/>
        <v>53.929499999999997</v>
      </c>
    </row>
    <row r="27" spans="1:13" x14ac:dyDescent="0.3">
      <c r="A27" t="s">
        <v>81</v>
      </c>
      <c r="B27" s="1">
        <v>45666</v>
      </c>
      <c r="C27" t="s">
        <v>82</v>
      </c>
      <c r="D27" t="s">
        <v>40</v>
      </c>
      <c r="E27" t="s">
        <v>51</v>
      </c>
      <c r="F27" t="s">
        <v>27</v>
      </c>
      <c r="G27" t="s">
        <v>28</v>
      </c>
      <c r="H27">
        <v>2</v>
      </c>
      <c r="I27" s="12">
        <v>860.57</v>
      </c>
      <c r="J27" s="12">
        <v>0.1</v>
      </c>
      <c r="K27" s="9">
        <v>1549.02</v>
      </c>
      <c r="L27" s="9">
        <v>280.33999999999997</v>
      </c>
      <c r="M27" s="9">
        <f t="shared" si="0"/>
        <v>172.11400000000003</v>
      </c>
    </row>
    <row r="28" spans="1:13" x14ac:dyDescent="0.3">
      <c r="A28" t="s">
        <v>83</v>
      </c>
      <c r="B28" s="1">
        <v>45666</v>
      </c>
      <c r="C28" t="s">
        <v>84</v>
      </c>
      <c r="D28" t="s">
        <v>25</v>
      </c>
      <c r="E28" t="s">
        <v>56</v>
      </c>
      <c r="F28" t="s">
        <v>21</v>
      </c>
      <c r="G28" t="s">
        <v>17</v>
      </c>
      <c r="H28">
        <v>2</v>
      </c>
      <c r="I28" s="12">
        <v>323.66000000000003</v>
      </c>
      <c r="J28" s="12">
        <v>0.05</v>
      </c>
      <c r="K28" s="9">
        <v>614.96</v>
      </c>
      <c r="L28" s="9">
        <v>101.11</v>
      </c>
      <c r="M28" s="9">
        <f t="shared" si="0"/>
        <v>32.366000000000007</v>
      </c>
    </row>
    <row r="29" spans="1:13" x14ac:dyDescent="0.3">
      <c r="A29" t="s">
        <v>85</v>
      </c>
      <c r="B29" s="1">
        <v>45666</v>
      </c>
      <c r="C29" t="s">
        <v>62</v>
      </c>
      <c r="D29" t="s">
        <v>40</v>
      </c>
      <c r="E29" t="s">
        <v>15</v>
      </c>
      <c r="F29" t="s">
        <v>16</v>
      </c>
      <c r="G29" t="s">
        <v>28</v>
      </c>
      <c r="H29">
        <v>1</v>
      </c>
      <c r="I29" s="12">
        <v>12.61</v>
      </c>
      <c r="J29" s="12">
        <v>0</v>
      </c>
      <c r="K29" s="9">
        <v>12.61</v>
      </c>
      <c r="L29" s="9">
        <v>2.76</v>
      </c>
      <c r="M29" s="9">
        <f t="shared" si="0"/>
        <v>0</v>
      </c>
    </row>
    <row r="30" spans="1:13" x14ac:dyDescent="0.3">
      <c r="A30" t="s">
        <v>86</v>
      </c>
      <c r="B30" s="1">
        <v>45667</v>
      </c>
      <c r="C30" t="s">
        <v>87</v>
      </c>
      <c r="D30" t="s">
        <v>14</v>
      </c>
      <c r="E30" t="s">
        <v>54</v>
      </c>
      <c r="F30" t="s">
        <v>27</v>
      </c>
      <c r="G30" t="s">
        <v>17</v>
      </c>
      <c r="H30">
        <v>1</v>
      </c>
      <c r="I30" s="12">
        <v>30.46</v>
      </c>
      <c r="J30" s="12">
        <v>0.1</v>
      </c>
      <c r="K30" s="9">
        <v>27.41</v>
      </c>
      <c r="L30" s="9">
        <v>5.43</v>
      </c>
      <c r="M30" s="9">
        <f t="shared" si="0"/>
        <v>3.0460000000000003</v>
      </c>
    </row>
    <row r="31" spans="1:13" x14ac:dyDescent="0.3">
      <c r="A31" t="s">
        <v>88</v>
      </c>
      <c r="B31" s="1">
        <v>45667</v>
      </c>
      <c r="C31" t="s">
        <v>89</v>
      </c>
      <c r="D31" t="s">
        <v>14</v>
      </c>
      <c r="E31" t="s">
        <v>20</v>
      </c>
      <c r="F31" t="s">
        <v>21</v>
      </c>
      <c r="G31" t="s">
        <v>28</v>
      </c>
      <c r="H31">
        <v>4</v>
      </c>
      <c r="I31" s="12">
        <v>195.5</v>
      </c>
      <c r="J31" s="12">
        <v>0.15</v>
      </c>
      <c r="K31" s="9">
        <v>664.71</v>
      </c>
      <c r="L31" s="9">
        <v>68.19</v>
      </c>
      <c r="M31" s="9">
        <f t="shared" si="0"/>
        <v>117.3</v>
      </c>
    </row>
    <row r="32" spans="1:13" x14ac:dyDescent="0.3">
      <c r="A32" t="s">
        <v>90</v>
      </c>
      <c r="B32" s="1">
        <v>45667</v>
      </c>
      <c r="C32" t="s">
        <v>91</v>
      </c>
      <c r="D32" t="s">
        <v>14</v>
      </c>
      <c r="E32" t="s">
        <v>92</v>
      </c>
      <c r="F32" t="s">
        <v>16</v>
      </c>
      <c r="G32" t="s">
        <v>32</v>
      </c>
      <c r="H32">
        <v>2</v>
      </c>
      <c r="I32" s="12">
        <v>8.1199999999999992</v>
      </c>
      <c r="J32" s="12">
        <v>0.1</v>
      </c>
      <c r="K32" s="9">
        <v>14.62</v>
      </c>
      <c r="L32" s="9">
        <v>2.7</v>
      </c>
      <c r="M32" s="9">
        <f t="shared" si="0"/>
        <v>1.6239999999999999</v>
      </c>
    </row>
    <row r="33" spans="1:13" x14ac:dyDescent="0.3">
      <c r="A33" t="s">
        <v>93</v>
      </c>
      <c r="B33" s="1">
        <v>45667</v>
      </c>
      <c r="C33" t="s">
        <v>94</v>
      </c>
      <c r="D33" t="s">
        <v>14</v>
      </c>
      <c r="E33" t="s">
        <v>56</v>
      </c>
      <c r="F33" t="s">
        <v>21</v>
      </c>
      <c r="G33" t="s">
        <v>22</v>
      </c>
      <c r="H33">
        <v>1</v>
      </c>
      <c r="I33" s="12">
        <v>330.21</v>
      </c>
      <c r="J33" s="12">
        <v>0.1</v>
      </c>
      <c r="K33" s="9">
        <v>297.19</v>
      </c>
      <c r="L33" s="9">
        <v>67.290000000000006</v>
      </c>
      <c r="M33" s="9">
        <f t="shared" si="0"/>
        <v>33.021000000000001</v>
      </c>
    </row>
    <row r="34" spans="1:13" x14ac:dyDescent="0.3">
      <c r="A34" t="s">
        <v>95</v>
      </c>
      <c r="B34" s="1">
        <v>45667</v>
      </c>
      <c r="C34" t="s">
        <v>89</v>
      </c>
      <c r="D34" t="s">
        <v>14</v>
      </c>
      <c r="E34" t="s">
        <v>15</v>
      </c>
      <c r="F34" t="s">
        <v>16</v>
      </c>
      <c r="G34" t="s">
        <v>22</v>
      </c>
      <c r="H34">
        <v>4</v>
      </c>
      <c r="I34" s="12">
        <v>13.23</v>
      </c>
      <c r="J34" s="12">
        <v>0</v>
      </c>
      <c r="K34" s="9">
        <v>52.94</v>
      </c>
      <c r="L34" s="9">
        <v>9.33</v>
      </c>
      <c r="M34" s="9">
        <f t="shared" si="0"/>
        <v>0</v>
      </c>
    </row>
    <row r="35" spans="1:13" x14ac:dyDescent="0.3">
      <c r="A35" t="s">
        <v>96</v>
      </c>
      <c r="B35" s="1">
        <v>45667</v>
      </c>
      <c r="C35" t="s">
        <v>97</v>
      </c>
      <c r="D35" t="s">
        <v>25</v>
      </c>
      <c r="E35" t="s">
        <v>54</v>
      </c>
      <c r="F35" t="s">
        <v>27</v>
      </c>
      <c r="G35" t="s">
        <v>17</v>
      </c>
      <c r="H35">
        <v>1</v>
      </c>
      <c r="I35" s="12">
        <v>27.04</v>
      </c>
      <c r="J35" s="12">
        <v>0.15</v>
      </c>
      <c r="K35" s="9">
        <v>22.98</v>
      </c>
      <c r="L35" s="9">
        <v>1.22</v>
      </c>
      <c r="M35" s="9">
        <f t="shared" si="0"/>
        <v>4.056</v>
      </c>
    </row>
    <row r="36" spans="1:13" x14ac:dyDescent="0.3">
      <c r="A36" t="s">
        <v>98</v>
      </c>
      <c r="B36" s="1">
        <v>45668</v>
      </c>
      <c r="C36" t="s">
        <v>99</v>
      </c>
      <c r="D36" t="s">
        <v>14</v>
      </c>
      <c r="E36" t="s">
        <v>37</v>
      </c>
      <c r="F36" t="s">
        <v>27</v>
      </c>
      <c r="G36" t="s">
        <v>32</v>
      </c>
      <c r="H36">
        <v>2</v>
      </c>
      <c r="I36" s="12">
        <v>198.16</v>
      </c>
      <c r="J36" s="12">
        <v>0</v>
      </c>
      <c r="K36" s="9">
        <v>396.33</v>
      </c>
      <c r="L36" s="9">
        <v>105.85</v>
      </c>
      <c r="M36" s="9">
        <f t="shared" si="0"/>
        <v>0</v>
      </c>
    </row>
    <row r="37" spans="1:13" x14ac:dyDescent="0.3">
      <c r="A37" t="s">
        <v>100</v>
      </c>
      <c r="B37" s="1">
        <v>45668</v>
      </c>
      <c r="C37" t="s">
        <v>101</v>
      </c>
      <c r="D37" t="s">
        <v>40</v>
      </c>
      <c r="E37" t="s">
        <v>65</v>
      </c>
      <c r="F37" t="s">
        <v>16</v>
      </c>
      <c r="G37" t="s">
        <v>17</v>
      </c>
      <c r="H37">
        <v>1</v>
      </c>
      <c r="I37" s="12">
        <v>17.190000000000001</v>
      </c>
      <c r="J37" s="12">
        <v>0</v>
      </c>
      <c r="K37" s="9">
        <v>17.190000000000001</v>
      </c>
      <c r="L37" s="9">
        <v>3.43</v>
      </c>
      <c r="M37" s="9">
        <f t="shared" si="0"/>
        <v>0</v>
      </c>
    </row>
    <row r="38" spans="1:13" x14ac:dyDescent="0.3">
      <c r="A38" t="s">
        <v>102</v>
      </c>
      <c r="B38" s="1">
        <v>45668</v>
      </c>
      <c r="C38" t="s">
        <v>103</v>
      </c>
      <c r="D38" t="s">
        <v>40</v>
      </c>
      <c r="E38" t="s">
        <v>92</v>
      </c>
      <c r="F38" t="s">
        <v>16</v>
      </c>
      <c r="G38" t="s">
        <v>28</v>
      </c>
      <c r="H38">
        <v>1</v>
      </c>
      <c r="I38" s="12">
        <v>8.2899999999999991</v>
      </c>
      <c r="J38" s="12">
        <v>0.05</v>
      </c>
      <c r="K38" s="9">
        <v>7.87</v>
      </c>
      <c r="L38" s="9">
        <v>0.89</v>
      </c>
      <c r="M38" s="9">
        <f t="shared" si="0"/>
        <v>0.41449999999999998</v>
      </c>
    </row>
    <row r="39" spans="1:13" x14ac:dyDescent="0.3">
      <c r="A39" t="s">
        <v>104</v>
      </c>
      <c r="B39" s="1">
        <v>45668</v>
      </c>
      <c r="C39" t="s">
        <v>105</v>
      </c>
      <c r="D39" t="s">
        <v>14</v>
      </c>
      <c r="E39" t="s">
        <v>56</v>
      </c>
      <c r="F39" t="s">
        <v>21</v>
      </c>
      <c r="G39" t="s">
        <v>17</v>
      </c>
      <c r="H39">
        <v>1</v>
      </c>
      <c r="I39" s="12">
        <v>324.35000000000002</v>
      </c>
      <c r="J39" s="12">
        <v>0</v>
      </c>
      <c r="K39" s="9">
        <v>324.35000000000002</v>
      </c>
      <c r="L39" s="9">
        <v>75.41</v>
      </c>
      <c r="M39" s="9">
        <f t="shared" si="0"/>
        <v>0</v>
      </c>
    </row>
    <row r="40" spans="1:13" x14ac:dyDescent="0.3">
      <c r="A40" t="s">
        <v>106</v>
      </c>
      <c r="B40" s="1">
        <v>45669</v>
      </c>
      <c r="C40" t="s">
        <v>107</v>
      </c>
      <c r="D40" t="s">
        <v>40</v>
      </c>
      <c r="E40" t="s">
        <v>54</v>
      </c>
      <c r="F40" t="s">
        <v>27</v>
      </c>
      <c r="G40" t="s">
        <v>17</v>
      </c>
      <c r="H40">
        <v>1</v>
      </c>
      <c r="I40" s="12">
        <v>30.63</v>
      </c>
      <c r="J40" s="12">
        <v>0</v>
      </c>
      <c r="K40" s="9">
        <v>30.63</v>
      </c>
      <c r="L40" s="9">
        <v>2.59</v>
      </c>
      <c r="M40" s="9">
        <f t="shared" si="0"/>
        <v>0</v>
      </c>
    </row>
    <row r="41" spans="1:13" x14ac:dyDescent="0.3">
      <c r="A41" t="s">
        <v>108</v>
      </c>
      <c r="B41" s="1">
        <v>45669</v>
      </c>
      <c r="C41" t="s">
        <v>109</v>
      </c>
      <c r="D41" t="s">
        <v>40</v>
      </c>
      <c r="E41" t="s">
        <v>110</v>
      </c>
      <c r="F41" t="s">
        <v>42</v>
      </c>
      <c r="G41" t="s">
        <v>22</v>
      </c>
      <c r="H41">
        <v>4</v>
      </c>
      <c r="I41" s="12">
        <v>22.21</v>
      </c>
      <c r="J41" s="12">
        <v>0.1</v>
      </c>
      <c r="K41" s="9">
        <v>79.94</v>
      </c>
      <c r="L41" s="9">
        <v>17.739999999999998</v>
      </c>
      <c r="M41" s="9">
        <f t="shared" si="0"/>
        <v>8.8840000000000003</v>
      </c>
    </row>
    <row r="42" spans="1:13" x14ac:dyDescent="0.3">
      <c r="A42" t="s">
        <v>111</v>
      </c>
      <c r="B42" s="1">
        <v>45669</v>
      </c>
      <c r="C42" t="s">
        <v>112</v>
      </c>
      <c r="D42" t="s">
        <v>14</v>
      </c>
      <c r="E42" t="s">
        <v>31</v>
      </c>
      <c r="F42" t="s">
        <v>21</v>
      </c>
      <c r="G42" t="s">
        <v>22</v>
      </c>
      <c r="H42">
        <v>2</v>
      </c>
      <c r="I42" s="12">
        <v>41.75</v>
      </c>
      <c r="J42" s="12">
        <v>0</v>
      </c>
      <c r="K42" s="9">
        <v>83.5</v>
      </c>
      <c r="L42" s="9">
        <v>19.11</v>
      </c>
      <c r="M42" s="9">
        <f t="shared" si="0"/>
        <v>0</v>
      </c>
    </row>
    <row r="43" spans="1:13" x14ac:dyDescent="0.3">
      <c r="A43" t="s">
        <v>113</v>
      </c>
      <c r="B43" s="1">
        <v>45669</v>
      </c>
      <c r="C43" t="s">
        <v>114</v>
      </c>
      <c r="D43" t="s">
        <v>14</v>
      </c>
      <c r="E43" t="s">
        <v>20</v>
      </c>
      <c r="F43" t="s">
        <v>21</v>
      </c>
      <c r="G43" t="s">
        <v>28</v>
      </c>
      <c r="H43">
        <v>3</v>
      </c>
      <c r="I43" s="12">
        <v>195.67</v>
      </c>
      <c r="J43" s="12">
        <v>0</v>
      </c>
      <c r="K43" s="9">
        <v>587.02</v>
      </c>
      <c r="L43" s="9">
        <v>135.18</v>
      </c>
      <c r="M43" s="9">
        <f t="shared" si="0"/>
        <v>0</v>
      </c>
    </row>
    <row r="44" spans="1:13" x14ac:dyDescent="0.3">
      <c r="A44" t="s">
        <v>115</v>
      </c>
      <c r="B44" s="1">
        <v>45670</v>
      </c>
      <c r="C44" t="s">
        <v>116</v>
      </c>
      <c r="D44" t="s">
        <v>40</v>
      </c>
      <c r="E44" t="s">
        <v>37</v>
      </c>
      <c r="F44" t="s">
        <v>27</v>
      </c>
      <c r="G44" t="s">
        <v>28</v>
      </c>
      <c r="H44">
        <v>1</v>
      </c>
      <c r="I44" s="12">
        <v>191.07</v>
      </c>
      <c r="J44" s="12">
        <v>0.15</v>
      </c>
      <c r="K44" s="9">
        <v>162.41</v>
      </c>
      <c r="L44" s="9">
        <v>13.57</v>
      </c>
      <c r="M44" s="9">
        <f t="shared" si="0"/>
        <v>28.660499999999999</v>
      </c>
    </row>
    <row r="45" spans="1:13" x14ac:dyDescent="0.3">
      <c r="A45" t="s">
        <v>117</v>
      </c>
      <c r="B45" s="1">
        <v>45670</v>
      </c>
      <c r="C45" t="s">
        <v>118</v>
      </c>
      <c r="D45" t="s">
        <v>25</v>
      </c>
      <c r="E45" t="s">
        <v>51</v>
      </c>
      <c r="F45" t="s">
        <v>27</v>
      </c>
      <c r="G45" t="s">
        <v>28</v>
      </c>
      <c r="H45">
        <v>1</v>
      </c>
      <c r="I45" s="12">
        <v>944.46</v>
      </c>
      <c r="J45" s="12">
        <v>0.05</v>
      </c>
      <c r="K45" s="9">
        <v>897.24</v>
      </c>
      <c r="L45" s="9">
        <v>179.01</v>
      </c>
      <c r="M45" s="9">
        <f t="shared" si="0"/>
        <v>47.223000000000006</v>
      </c>
    </row>
    <row r="46" spans="1:13" x14ac:dyDescent="0.3">
      <c r="A46" t="s">
        <v>119</v>
      </c>
      <c r="B46" s="1">
        <v>45670</v>
      </c>
      <c r="C46" t="s">
        <v>120</v>
      </c>
      <c r="D46" t="s">
        <v>25</v>
      </c>
      <c r="E46" t="s">
        <v>41</v>
      </c>
      <c r="F46" t="s">
        <v>42</v>
      </c>
      <c r="G46" t="s">
        <v>32</v>
      </c>
      <c r="H46">
        <v>1</v>
      </c>
      <c r="I46" s="12">
        <v>52.91</v>
      </c>
      <c r="J46" s="12">
        <v>0.1</v>
      </c>
      <c r="K46" s="9">
        <v>47.62</v>
      </c>
      <c r="L46" s="9">
        <v>10.77</v>
      </c>
      <c r="M46" s="9">
        <f t="shared" si="0"/>
        <v>5.2910000000000004</v>
      </c>
    </row>
    <row r="47" spans="1:13" x14ac:dyDescent="0.3">
      <c r="A47" t="s">
        <v>121</v>
      </c>
      <c r="B47" s="1">
        <v>45670</v>
      </c>
      <c r="C47" t="s">
        <v>122</v>
      </c>
      <c r="D47" t="s">
        <v>14</v>
      </c>
      <c r="E47" t="s">
        <v>92</v>
      </c>
      <c r="F47" t="s">
        <v>16</v>
      </c>
      <c r="G47" t="s">
        <v>22</v>
      </c>
      <c r="H47">
        <v>3</v>
      </c>
      <c r="I47" s="12">
        <v>9.44</v>
      </c>
      <c r="J47" s="12">
        <v>0</v>
      </c>
      <c r="K47" s="9">
        <v>28.33</v>
      </c>
      <c r="L47" s="9">
        <v>3.41</v>
      </c>
      <c r="M47" s="9">
        <f t="shared" si="0"/>
        <v>0</v>
      </c>
    </row>
    <row r="48" spans="1:13" x14ac:dyDescent="0.3">
      <c r="A48" t="s">
        <v>123</v>
      </c>
      <c r="B48" s="1">
        <v>45670</v>
      </c>
      <c r="C48" t="s">
        <v>124</v>
      </c>
      <c r="D48" t="s">
        <v>14</v>
      </c>
      <c r="E48" t="s">
        <v>15</v>
      </c>
      <c r="F48" t="s">
        <v>16</v>
      </c>
      <c r="G48" t="s">
        <v>28</v>
      </c>
      <c r="H48">
        <v>2</v>
      </c>
      <c r="I48" s="12">
        <v>13.16</v>
      </c>
      <c r="J48" s="12">
        <v>0.05</v>
      </c>
      <c r="K48" s="9">
        <v>25.01</v>
      </c>
      <c r="L48" s="9">
        <v>2.27</v>
      </c>
      <c r="M48" s="9">
        <f t="shared" si="0"/>
        <v>1.3160000000000001</v>
      </c>
    </row>
    <row r="49" spans="1:13" x14ac:dyDescent="0.3">
      <c r="A49" t="s">
        <v>125</v>
      </c>
      <c r="B49" s="1">
        <v>45670</v>
      </c>
      <c r="C49" t="s">
        <v>126</v>
      </c>
      <c r="D49" t="s">
        <v>25</v>
      </c>
      <c r="E49" t="s">
        <v>15</v>
      </c>
      <c r="F49" t="s">
        <v>16</v>
      </c>
      <c r="G49" t="s">
        <v>17</v>
      </c>
      <c r="H49">
        <v>3</v>
      </c>
      <c r="I49" s="12">
        <v>13.16</v>
      </c>
      <c r="J49" s="12">
        <v>0</v>
      </c>
      <c r="K49" s="9">
        <v>39.49</v>
      </c>
      <c r="L49" s="9">
        <v>5.25</v>
      </c>
      <c r="M49" s="9">
        <f t="shared" si="0"/>
        <v>0</v>
      </c>
    </row>
    <row r="50" spans="1:13" x14ac:dyDescent="0.3">
      <c r="A50" t="s">
        <v>127</v>
      </c>
      <c r="B50" s="1">
        <v>45671</v>
      </c>
      <c r="C50" t="s">
        <v>128</v>
      </c>
      <c r="D50" t="s">
        <v>40</v>
      </c>
      <c r="E50" t="s">
        <v>31</v>
      </c>
      <c r="F50" t="s">
        <v>21</v>
      </c>
      <c r="G50" t="s">
        <v>22</v>
      </c>
      <c r="H50">
        <v>1</v>
      </c>
      <c r="I50" s="12">
        <v>41.84</v>
      </c>
      <c r="J50" s="12">
        <v>0.05</v>
      </c>
      <c r="K50" s="9">
        <v>39.75</v>
      </c>
      <c r="L50" s="9">
        <v>2.96</v>
      </c>
      <c r="M50" s="9">
        <f t="shared" si="0"/>
        <v>2.0920000000000001</v>
      </c>
    </row>
    <row r="51" spans="1:13" x14ac:dyDescent="0.3">
      <c r="A51" t="s">
        <v>129</v>
      </c>
      <c r="B51" s="1">
        <v>45671</v>
      </c>
      <c r="C51" t="s">
        <v>130</v>
      </c>
      <c r="D51" t="s">
        <v>40</v>
      </c>
      <c r="E51" t="s">
        <v>65</v>
      </c>
      <c r="F51" t="s">
        <v>16</v>
      </c>
      <c r="G51" t="s">
        <v>28</v>
      </c>
      <c r="H51">
        <v>1</v>
      </c>
      <c r="I51" s="12">
        <v>18.809999999999999</v>
      </c>
      <c r="J51" s="12">
        <v>0</v>
      </c>
      <c r="K51" s="9">
        <v>18.809999999999999</v>
      </c>
      <c r="L51" s="9">
        <v>1.96</v>
      </c>
      <c r="M51" s="9">
        <f t="shared" si="0"/>
        <v>0</v>
      </c>
    </row>
    <row r="52" spans="1:13" x14ac:dyDescent="0.3">
      <c r="A52" t="s">
        <v>131</v>
      </c>
      <c r="B52" s="1">
        <v>45672</v>
      </c>
      <c r="C52" t="s">
        <v>132</v>
      </c>
      <c r="D52" t="s">
        <v>25</v>
      </c>
      <c r="E52" t="s">
        <v>92</v>
      </c>
      <c r="F52" t="s">
        <v>16</v>
      </c>
      <c r="G52" t="s">
        <v>32</v>
      </c>
      <c r="H52">
        <v>1</v>
      </c>
      <c r="I52" s="12">
        <v>9.33</v>
      </c>
      <c r="J52" s="12">
        <v>0.1</v>
      </c>
      <c r="K52" s="9">
        <v>8.4</v>
      </c>
      <c r="L52" s="9">
        <v>1.75</v>
      </c>
      <c r="M52" s="9">
        <f t="shared" si="0"/>
        <v>0.93300000000000005</v>
      </c>
    </row>
    <row r="53" spans="1:13" x14ac:dyDescent="0.3">
      <c r="A53" t="s">
        <v>133</v>
      </c>
      <c r="B53" s="1">
        <v>45672</v>
      </c>
      <c r="C53" t="s">
        <v>134</v>
      </c>
      <c r="D53" t="s">
        <v>14</v>
      </c>
      <c r="E53" t="s">
        <v>65</v>
      </c>
      <c r="F53" t="s">
        <v>16</v>
      </c>
      <c r="G53" t="s">
        <v>32</v>
      </c>
      <c r="H53">
        <v>1</v>
      </c>
      <c r="I53" s="12">
        <v>17.329999999999998</v>
      </c>
      <c r="J53" s="12">
        <v>0.1</v>
      </c>
      <c r="K53" s="9">
        <v>15.6</v>
      </c>
      <c r="L53" s="9">
        <v>2.39</v>
      </c>
      <c r="M53" s="9">
        <f t="shared" si="0"/>
        <v>1.7329999999999999</v>
      </c>
    </row>
    <row r="54" spans="1:13" x14ac:dyDescent="0.3">
      <c r="A54" t="s">
        <v>135</v>
      </c>
      <c r="B54" s="1">
        <v>45673</v>
      </c>
      <c r="C54" t="s">
        <v>136</v>
      </c>
      <c r="D54" t="s">
        <v>40</v>
      </c>
      <c r="E54" t="s">
        <v>41</v>
      </c>
      <c r="F54" t="s">
        <v>42</v>
      </c>
      <c r="G54" t="s">
        <v>22</v>
      </c>
      <c r="H54">
        <v>3</v>
      </c>
      <c r="I54" s="12">
        <v>55.75</v>
      </c>
      <c r="J54" s="12">
        <v>0</v>
      </c>
      <c r="K54" s="9">
        <v>167.24</v>
      </c>
      <c r="L54" s="9">
        <v>46.21</v>
      </c>
      <c r="M54" s="9">
        <f t="shared" si="0"/>
        <v>0</v>
      </c>
    </row>
    <row r="55" spans="1:13" x14ac:dyDescent="0.3">
      <c r="A55" t="s">
        <v>137</v>
      </c>
      <c r="B55" s="1">
        <v>45673</v>
      </c>
      <c r="C55" t="s">
        <v>39</v>
      </c>
      <c r="D55" t="s">
        <v>14</v>
      </c>
      <c r="E55" t="s">
        <v>26</v>
      </c>
      <c r="F55" t="s">
        <v>27</v>
      </c>
      <c r="G55" t="s">
        <v>32</v>
      </c>
      <c r="H55">
        <v>2</v>
      </c>
      <c r="I55" s="12">
        <v>81.59</v>
      </c>
      <c r="J55" s="12">
        <v>0</v>
      </c>
      <c r="K55" s="9">
        <v>163.19</v>
      </c>
      <c r="L55" s="9">
        <v>37.700000000000003</v>
      </c>
      <c r="M55" s="9">
        <f t="shared" si="0"/>
        <v>0</v>
      </c>
    </row>
    <row r="56" spans="1:13" x14ac:dyDescent="0.3">
      <c r="A56" t="s">
        <v>138</v>
      </c>
      <c r="B56" s="1">
        <v>45673</v>
      </c>
      <c r="C56" t="s">
        <v>139</v>
      </c>
      <c r="D56" t="s">
        <v>14</v>
      </c>
      <c r="E56" t="s">
        <v>15</v>
      </c>
      <c r="F56" t="s">
        <v>16</v>
      </c>
      <c r="G56" t="s">
        <v>17</v>
      </c>
      <c r="H56">
        <v>2</v>
      </c>
      <c r="I56" s="12">
        <v>12.97</v>
      </c>
      <c r="J56" s="12">
        <v>0</v>
      </c>
      <c r="K56" s="9">
        <v>25.94</v>
      </c>
      <c r="L56" s="9">
        <v>6.67</v>
      </c>
      <c r="M56" s="9">
        <f t="shared" si="0"/>
        <v>0</v>
      </c>
    </row>
    <row r="57" spans="1:13" x14ac:dyDescent="0.3">
      <c r="A57" t="s">
        <v>140</v>
      </c>
      <c r="B57" s="1">
        <v>45673</v>
      </c>
      <c r="C57" t="s">
        <v>141</v>
      </c>
      <c r="D57" t="s">
        <v>25</v>
      </c>
      <c r="E57" t="s">
        <v>15</v>
      </c>
      <c r="F57" t="s">
        <v>16</v>
      </c>
      <c r="G57" t="s">
        <v>28</v>
      </c>
      <c r="H57">
        <v>4</v>
      </c>
      <c r="I57" s="12">
        <v>14.84</v>
      </c>
      <c r="J57" s="12">
        <v>0.1</v>
      </c>
      <c r="K57" s="9">
        <v>53.43</v>
      </c>
      <c r="L57" s="9">
        <v>10.25</v>
      </c>
      <c r="M57" s="9">
        <f t="shared" si="0"/>
        <v>5.9359999999999999</v>
      </c>
    </row>
    <row r="58" spans="1:13" x14ac:dyDescent="0.3">
      <c r="A58" t="s">
        <v>142</v>
      </c>
      <c r="B58" s="1">
        <v>45673</v>
      </c>
      <c r="C58" t="s">
        <v>82</v>
      </c>
      <c r="D58" t="s">
        <v>14</v>
      </c>
      <c r="E58" t="s">
        <v>41</v>
      </c>
      <c r="F58" t="s">
        <v>42</v>
      </c>
      <c r="G58" t="s">
        <v>22</v>
      </c>
      <c r="H58">
        <v>1</v>
      </c>
      <c r="I58" s="12">
        <v>59.94</v>
      </c>
      <c r="J58" s="12">
        <v>0</v>
      </c>
      <c r="K58" s="9">
        <v>59.94</v>
      </c>
      <c r="L58" s="9">
        <v>15.34</v>
      </c>
      <c r="M58" s="9">
        <f t="shared" si="0"/>
        <v>0</v>
      </c>
    </row>
    <row r="59" spans="1:13" x14ac:dyDescent="0.3">
      <c r="A59" t="s">
        <v>143</v>
      </c>
      <c r="B59" s="1">
        <v>45674</v>
      </c>
      <c r="C59" t="s">
        <v>144</v>
      </c>
      <c r="D59" t="s">
        <v>40</v>
      </c>
      <c r="E59" t="s">
        <v>31</v>
      </c>
      <c r="F59" t="s">
        <v>21</v>
      </c>
      <c r="G59" t="s">
        <v>32</v>
      </c>
      <c r="H59">
        <v>3</v>
      </c>
      <c r="I59" s="12">
        <v>45.79</v>
      </c>
      <c r="J59" s="12">
        <v>0.1</v>
      </c>
      <c r="K59" s="9">
        <v>123.64</v>
      </c>
      <c r="L59" s="9">
        <v>26.1</v>
      </c>
      <c r="M59" s="9">
        <f t="shared" si="0"/>
        <v>13.737000000000002</v>
      </c>
    </row>
    <row r="60" spans="1:13" x14ac:dyDescent="0.3">
      <c r="A60" t="s">
        <v>145</v>
      </c>
      <c r="B60" s="1">
        <v>45675</v>
      </c>
      <c r="C60" t="s">
        <v>146</v>
      </c>
      <c r="D60" t="s">
        <v>40</v>
      </c>
      <c r="E60" t="s">
        <v>41</v>
      </c>
      <c r="F60" t="s">
        <v>42</v>
      </c>
      <c r="G60" t="s">
        <v>28</v>
      </c>
      <c r="H60">
        <v>1</v>
      </c>
      <c r="I60" s="12">
        <v>55.61</v>
      </c>
      <c r="J60" s="12">
        <v>0</v>
      </c>
      <c r="K60" s="9">
        <v>55.61</v>
      </c>
      <c r="L60" s="9">
        <v>10.94</v>
      </c>
      <c r="M60" s="9">
        <f t="shared" si="0"/>
        <v>0</v>
      </c>
    </row>
    <row r="61" spans="1:13" x14ac:dyDescent="0.3">
      <c r="A61" t="s">
        <v>147</v>
      </c>
      <c r="B61" s="1">
        <v>45675</v>
      </c>
      <c r="C61" t="s">
        <v>116</v>
      </c>
      <c r="D61" t="s">
        <v>14</v>
      </c>
      <c r="E61" t="s">
        <v>26</v>
      </c>
      <c r="F61" t="s">
        <v>27</v>
      </c>
      <c r="G61" t="s">
        <v>28</v>
      </c>
      <c r="H61">
        <v>3</v>
      </c>
      <c r="I61" s="12">
        <v>67.88</v>
      </c>
      <c r="J61" s="12">
        <v>0.05</v>
      </c>
      <c r="K61" s="9">
        <v>193.47</v>
      </c>
      <c r="L61" s="9">
        <v>48.57</v>
      </c>
      <c r="M61" s="9">
        <f t="shared" si="0"/>
        <v>10.182</v>
      </c>
    </row>
    <row r="62" spans="1:13" x14ac:dyDescent="0.3">
      <c r="A62" t="s">
        <v>148</v>
      </c>
      <c r="B62" s="1">
        <v>45675</v>
      </c>
      <c r="C62" t="s">
        <v>118</v>
      </c>
      <c r="D62" t="s">
        <v>40</v>
      </c>
      <c r="E62" t="s">
        <v>110</v>
      </c>
      <c r="F62" t="s">
        <v>42</v>
      </c>
      <c r="G62" t="s">
        <v>32</v>
      </c>
      <c r="H62">
        <v>4</v>
      </c>
      <c r="I62" s="12">
        <v>22.96</v>
      </c>
      <c r="J62" s="12">
        <v>0.05</v>
      </c>
      <c r="K62" s="9">
        <v>87.25</v>
      </c>
      <c r="L62" s="9">
        <v>12.76</v>
      </c>
      <c r="M62" s="9">
        <f t="shared" si="0"/>
        <v>4.5920000000000005</v>
      </c>
    </row>
    <row r="63" spans="1:13" x14ac:dyDescent="0.3">
      <c r="A63" t="s">
        <v>149</v>
      </c>
      <c r="B63" s="1">
        <v>45675</v>
      </c>
      <c r="C63" t="s">
        <v>150</v>
      </c>
      <c r="D63" t="s">
        <v>25</v>
      </c>
      <c r="E63" t="s">
        <v>54</v>
      </c>
      <c r="F63" t="s">
        <v>27</v>
      </c>
      <c r="G63" t="s">
        <v>17</v>
      </c>
      <c r="H63">
        <v>2</v>
      </c>
      <c r="I63" s="12">
        <v>28.51</v>
      </c>
      <c r="J63" s="12">
        <v>0</v>
      </c>
      <c r="K63" s="9">
        <v>57.01</v>
      </c>
      <c r="L63" s="9">
        <v>9.2100000000000009</v>
      </c>
      <c r="M63" s="9">
        <f t="shared" si="0"/>
        <v>0</v>
      </c>
    </row>
    <row r="64" spans="1:13" x14ac:dyDescent="0.3">
      <c r="A64" t="s">
        <v>151</v>
      </c>
      <c r="B64" s="1">
        <v>45675</v>
      </c>
      <c r="C64" t="s">
        <v>152</v>
      </c>
      <c r="D64" t="s">
        <v>25</v>
      </c>
      <c r="E64" t="s">
        <v>92</v>
      </c>
      <c r="F64" t="s">
        <v>16</v>
      </c>
      <c r="G64" t="s">
        <v>17</v>
      </c>
      <c r="H64">
        <v>4</v>
      </c>
      <c r="I64" s="12">
        <v>8.48</v>
      </c>
      <c r="J64" s="12">
        <v>0</v>
      </c>
      <c r="K64" s="9">
        <v>33.9</v>
      </c>
      <c r="L64" s="9">
        <v>7.26</v>
      </c>
      <c r="M64" s="9">
        <f t="shared" si="0"/>
        <v>0</v>
      </c>
    </row>
    <row r="65" spans="1:13" x14ac:dyDescent="0.3">
      <c r="A65" t="s">
        <v>153</v>
      </c>
      <c r="B65" s="1">
        <v>45675</v>
      </c>
      <c r="C65" t="s">
        <v>30</v>
      </c>
      <c r="D65" t="s">
        <v>40</v>
      </c>
      <c r="E65" t="s">
        <v>31</v>
      </c>
      <c r="F65" t="s">
        <v>21</v>
      </c>
      <c r="G65" t="s">
        <v>17</v>
      </c>
      <c r="H65">
        <v>2</v>
      </c>
      <c r="I65" s="12">
        <v>41.37</v>
      </c>
      <c r="J65" s="12">
        <v>0.1</v>
      </c>
      <c r="K65" s="9">
        <v>74.47</v>
      </c>
      <c r="L65" s="9">
        <v>11.08</v>
      </c>
      <c r="M65" s="9">
        <f t="shared" si="0"/>
        <v>8.2739999999999991</v>
      </c>
    </row>
    <row r="66" spans="1:13" x14ac:dyDescent="0.3">
      <c r="A66" t="s">
        <v>154</v>
      </c>
      <c r="B66" s="1">
        <v>45675</v>
      </c>
      <c r="C66" t="s">
        <v>155</v>
      </c>
      <c r="D66" t="s">
        <v>14</v>
      </c>
      <c r="E66" t="s">
        <v>110</v>
      </c>
      <c r="F66" t="s">
        <v>42</v>
      </c>
      <c r="G66" t="s">
        <v>22</v>
      </c>
      <c r="H66">
        <v>1</v>
      </c>
      <c r="I66" s="12">
        <v>22.62</v>
      </c>
      <c r="J66" s="12">
        <v>0.1</v>
      </c>
      <c r="K66" s="9">
        <v>20.36</v>
      </c>
      <c r="L66" s="9">
        <v>2.85</v>
      </c>
      <c r="M66" s="9">
        <f t="shared" si="0"/>
        <v>2.262</v>
      </c>
    </row>
    <row r="67" spans="1:13" x14ac:dyDescent="0.3">
      <c r="A67" t="s">
        <v>156</v>
      </c>
      <c r="B67" s="1">
        <v>45675</v>
      </c>
      <c r="C67" t="s">
        <v>157</v>
      </c>
      <c r="D67" t="s">
        <v>25</v>
      </c>
      <c r="E67" t="s">
        <v>56</v>
      </c>
      <c r="F67" t="s">
        <v>21</v>
      </c>
      <c r="G67" t="s">
        <v>28</v>
      </c>
      <c r="H67">
        <v>1</v>
      </c>
      <c r="I67" s="12">
        <v>342.08</v>
      </c>
      <c r="J67" s="12">
        <v>0.2</v>
      </c>
      <c r="K67" s="9">
        <v>273.66000000000003</v>
      </c>
      <c r="L67" s="9">
        <v>48.78</v>
      </c>
      <c r="M67" s="9">
        <f t="shared" ref="M67:M130" si="1">H67*I67*J67</f>
        <v>68.415999999999997</v>
      </c>
    </row>
    <row r="68" spans="1:13" x14ac:dyDescent="0.3">
      <c r="A68" t="s">
        <v>158</v>
      </c>
      <c r="B68" s="1">
        <v>45676</v>
      </c>
      <c r="C68" t="s">
        <v>159</v>
      </c>
      <c r="D68" t="s">
        <v>14</v>
      </c>
      <c r="E68" t="s">
        <v>20</v>
      </c>
      <c r="F68" t="s">
        <v>21</v>
      </c>
      <c r="G68" t="s">
        <v>32</v>
      </c>
      <c r="H68">
        <v>4</v>
      </c>
      <c r="I68" s="12">
        <v>188.63</v>
      </c>
      <c r="J68" s="12">
        <v>0.2</v>
      </c>
      <c r="K68" s="9">
        <v>603.62</v>
      </c>
      <c r="L68" s="9">
        <v>55.91</v>
      </c>
      <c r="M68" s="9">
        <f t="shared" si="1"/>
        <v>150.904</v>
      </c>
    </row>
    <row r="69" spans="1:13" x14ac:dyDescent="0.3">
      <c r="A69" t="s">
        <v>160</v>
      </c>
      <c r="B69" s="1">
        <v>45676</v>
      </c>
      <c r="C69" t="s">
        <v>76</v>
      </c>
      <c r="D69" t="s">
        <v>40</v>
      </c>
      <c r="E69" t="s">
        <v>110</v>
      </c>
      <c r="F69" t="s">
        <v>42</v>
      </c>
      <c r="G69" t="s">
        <v>32</v>
      </c>
      <c r="H69">
        <v>2</v>
      </c>
      <c r="I69" s="12">
        <v>22.8</v>
      </c>
      <c r="J69" s="12">
        <v>0</v>
      </c>
      <c r="K69" s="9">
        <v>45.6</v>
      </c>
      <c r="L69" s="9">
        <v>12.22</v>
      </c>
      <c r="M69" s="9">
        <f t="shared" si="1"/>
        <v>0</v>
      </c>
    </row>
    <row r="70" spans="1:13" x14ac:dyDescent="0.3">
      <c r="A70" t="s">
        <v>161</v>
      </c>
      <c r="B70" s="1">
        <v>45677</v>
      </c>
      <c r="C70" t="s">
        <v>162</v>
      </c>
      <c r="D70" t="s">
        <v>14</v>
      </c>
      <c r="E70" t="s">
        <v>26</v>
      </c>
      <c r="F70" t="s">
        <v>27</v>
      </c>
      <c r="G70" t="s">
        <v>28</v>
      </c>
      <c r="H70">
        <v>1</v>
      </c>
      <c r="I70" s="12">
        <v>77.59</v>
      </c>
      <c r="J70" s="12">
        <v>0.05</v>
      </c>
      <c r="K70" s="9">
        <v>73.709999999999994</v>
      </c>
      <c r="L70" s="9">
        <v>15.23</v>
      </c>
      <c r="M70" s="9">
        <f t="shared" si="1"/>
        <v>3.8795000000000002</v>
      </c>
    </row>
    <row r="71" spans="1:13" x14ac:dyDescent="0.3">
      <c r="A71" t="s">
        <v>163</v>
      </c>
      <c r="B71" s="1">
        <v>45678</v>
      </c>
      <c r="C71" t="s">
        <v>164</v>
      </c>
      <c r="D71" t="s">
        <v>40</v>
      </c>
      <c r="E71" t="s">
        <v>26</v>
      </c>
      <c r="F71" t="s">
        <v>27</v>
      </c>
      <c r="G71" t="s">
        <v>17</v>
      </c>
      <c r="H71">
        <v>1</v>
      </c>
      <c r="I71" s="12">
        <v>68.790000000000006</v>
      </c>
      <c r="J71" s="12">
        <v>0</v>
      </c>
      <c r="K71" s="9">
        <v>68.790000000000006</v>
      </c>
      <c r="L71" s="9">
        <v>15.33</v>
      </c>
      <c r="M71" s="9">
        <f t="shared" si="1"/>
        <v>0</v>
      </c>
    </row>
    <row r="72" spans="1:13" x14ac:dyDescent="0.3">
      <c r="A72" t="s">
        <v>165</v>
      </c>
      <c r="B72" s="1">
        <v>45678</v>
      </c>
      <c r="C72" t="s">
        <v>166</v>
      </c>
      <c r="D72" t="s">
        <v>14</v>
      </c>
      <c r="E72" t="s">
        <v>20</v>
      </c>
      <c r="F72" t="s">
        <v>21</v>
      </c>
      <c r="G72" t="s">
        <v>32</v>
      </c>
      <c r="H72">
        <v>1</v>
      </c>
      <c r="I72" s="12">
        <v>169.54</v>
      </c>
      <c r="J72" s="12">
        <v>0.15</v>
      </c>
      <c r="K72" s="9">
        <v>144.11000000000001</v>
      </c>
      <c r="L72" s="9">
        <v>14.81</v>
      </c>
      <c r="M72" s="9">
        <f t="shared" si="1"/>
        <v>25.430999999999997</v>
      </c>
    </row>
    <row r="73" spans="1:13" x14ac:dyDescent="0.3">
      <c r="A73" t="s">
        <v>167</v>
      </c>
      <c r="B73" s="1">
        <v>45679</v>
      </c>
      <c r="C73" t="s">
        <v>168</v>
      </c>
      <c r="D73" t="s">
        <v>14</v>
      </c>
      <c r="E73" t="s">
        <v>110</v>
      </c>
      <c r="F73" t="s">
        <v>42</v>
      </c>
      <c r="G73" t="s">
        <v>28</v>
      </c>
      <c r="H73">
        <v>2</v>
      </c>
      <c r="I73" s="12">
        <v>22.85</v>
      </c>
      <c r="J73" s="12">
        <v>0.1</v>
      </c>
      <c r="K73" s="9">
        <v>41.13</v>
      </c>
      <c r="L73" s="9">
        <v>10.66</v>
      </c>
      <c r="M73" s="9">
        <f t="shared" si="1"/>
        <v>4.57</v>
      </c>
    </row>
    <row r="74" spans="1:13" x14ac:dyDescent="0.3">
      <c r="A74" t="s">
        <v>169</v>
      </c>
      <c r="B74" s="1">
        <v>45679</v>
      </c>
      <c r="C74" t="s">
        <v>170</v>
      </c>
      <c r="D74" t="s">
        <v>25</v>
      </c>
      <c r="E74" t="s">
        <v>54</v>
      </c>
      <c r="F74" t="s">
        <v>27</v>
      </c>
      <c r="G74" t="s">
        <v>28</v>
      </c>
      <c r="H74">
        <v>1</v>
      </c>
      <c r="I74" s="12">
        <v>26.47</v>
      </c>
      <c r="J74" s="12">
        <v>0</v>
      </c>
      <c r="K74" s="9">
        <v>26.47</v>
      </c>
      <c r="L74" s="9">
        <v>3.91</v>
      </c>
      <c r="M74" s="9">
        <f t="shared" si="1"/>
        <v>0</v>
      </c>
    </row>
    <row r="75" spans="1:13" x14ac:dyDescent="0.3">
      <c r="A75" t="s">
        <v>171</v>
      </c>
      <c r="B75" s="1">
        <v>45680</v>
      </c>
      <c r="C75" t="s">
        <v>172</v>
      </c>
      <c r="D75" t="s">
        <v>25</v>
      </c>
      <c r="E75" t="s">
        <v>65</v>
      </c>
      <c r="F75" t="s">
        <v>16</v>
      </c>
      <c r="G75" t="s">
        <v>22</v>
      </c>
      <c r="H75">
        <v>1</v>
      </c>
      <c r="I75" s="12">
        <v>18.16</v>
      </c>
      <c r="J75" s="12">
        <v>0</v>
      </c>
      <c r="K75" s="9">
        <v>18.16</v>
      </c>
      <c r="L75" s="9">
        <v>4.0199999999999996</v>
      </c>
      <c r="M75" s="9">
        <f t="shared" si="1"/>
        <v>0</v>
      </c>
    </row>
    <row r="76" spans="1:13" x14ac:dyDescent="0.3">
      <c r="A76" t="s">
        <v>173</v>
      </c>
      <c r="B76" s="1">
        <v>45680</v>
      </c>
      <c r="C76" t="s">
        <v>82</v>
      </c>
      <c r="D76" t="s">
        <v>14</v>
      </c>
      <c r="E76" t="s">
        <v>56</v>
      </c>
      <c r="F76" t="s">
        <v>21</v>
      </c>
      <c r="G76" t="s">
        <v>22</v>
      </c>
      <c r="H76">
        <v>1</v>
      </c>
      <c r="I76" s="12">
        <v>336.2</v>
      </c>
      <c r="J76" s="12">
        <v>0</v>
      </c>
      <c r="K76" s="9">
        <v>336.2</v>
      </c>
      <c r="L76" s="9">
        <v>70.3</v>
      </c>
      <c r="M76" s="9">
        <f t="shared" si="1"/>
        <v>0</v>
      </c>
    </row>
    <row r="77" spans="1:13" x14ac:dyDescent="0.3">
      <c r="A77" t="s">
        <v>174</v>
      </c>
      <c r="B77" s="1">
        <v>45680</v>
      </c>
      <c r="C77" t="s">
        <v>175</v>
      </c>
      <c r="D77" t="s">
        <v>25</v>
      </c>
      <c r="E77" t="s">
        <v>15</v>
      </c>
      <c r="F77" t="s">
        <v>16</v>
      </c>
      <c r="G77" t="s">
        <v>28</v>
      </c>
      <c r="H77">
        <v>1</v>
      </c>
      <c r="I77" s="12">
        <v>12.88</v>
      </c>
      <c r="J77" s="12">
        <v>0</v>
      </c>
      <c r="K77" s="9">
        <v>12.88</v>
      </c>
      <c r="L77" s="9">
        <v>1.06</v>
      </c>
      <c r="M77" s="9">
        <f t="shared" si="1"/>
        <v>0</v>
      </c>
    </row>
    <row r="78" spans="1:13" x14ac:dyDescent="0.3">
      <c r="A78" t="s">
        <v>176</v>
      </c>
      <c r="B78" s="1">
        <v>45680</v>
      </c>
      <c r="C78" t="s">
        <v>177</v>
      </c>
      <c r="D78" t="s">
        <v>40</v>
      </c>
      <c r="E78" t="s">
        <v>20</v>
      </c>
      <c r="F78" t="s">
        <v>21</v>
      </c>
      <c r="G78" t="s">
        <v>22</v>
      </c>
      <c r="H78">
        <v>5</v>
      </c>
      <c r="I78" s="12">
        <v>196.23</v>
      </c>
      <c r="J78" s="12">
        <v>0.1</v>
      </c>
      <c r="K78" s="9">
        <v>883.03</v>
      </c>
      <c r="L78" s="9">
        <v>177.52</v>
      </c>
      <c r="M78" s="9">
        <f t="shared" si="1"/>
        <v>98.115000000000009</v>
      </c>
    </row>
    <row r="79" spans="1:13" x14ac:dyDescent="0.3">
      <c r="A79" t="s">
        <v>178</v>
      </c>
      <c r="B79" s="1">
        <v>45680</v>
      </c>
      <c r="C79" t="s">
        <v>179</v>
      </c>
      <c r="D79" t="s">
        <v>40</v>
      </c>
      <c r="E79" t="s">
        <v>41</v>
      </c>
      <c r="F79" t="s">
        <v>42</v>
      </c>
      <c r="G79" t="s">
        <v>22</v>
      </c>
      <c r="H79">
        <v>1</v>
      </c>
      <c r="I79" s="12">
        <v>58.14</v>
      </c>
      <c r="J79" s="12">
        <v>0.1</v>
      </c>
      <c r="K79" s="9">
        <v>52.32</v>
      </c>
      <c r="L79" s="9">
        <v>5.66</v>
      </c>
      <c r="M79" s="9">
        <f t="shared" si="1"/>
        <v>5.8140000000000001</v>
      </c>
    </row>
    <row r="80" spans="1:13" x14ac:dyDescent="0.3">
      <c r="A80" t="s">
        <v>180</v>
      </c>
      <c r="B80" s="1">
        <v>45680</v>
      </c>
      <c r="C80" t="s">
        <v>181</v>
      </c>
      <c r="D80" t="s">
        <v>14</v>
      </c>
      <c r="E80" t="s">
        <v>110</v>
      </c>
      <c r="F80" t="s">
        <v>42</v>
      </c>
      <c r="G80" t="s">
        <v>28</v>
      </c>
      <c r="H80">
        <v>1</v>
      </c>
      <c r="I80" s="12">
        <v>23.01</v>
      </c>
      <c r="J80" s="12">
        <v>0</v>
      </c>
      <c r="K80" s="9">
        <v>23.01</v>
      </c>
      <c r="L80" s="9">
        <v>2.76</v>
      </c>
      <c r="M80" s="9">
        <f t="shared" si="1"/>
        <v>0</v>
      </c>
    </row>
    <row r="81" spans="1:13" x14ac:dyDescent="0.3">
      <c r="A81" t="s">
        <v>182</v>
      </c>
      <c r="B81" s="1">
        <v>45681</v>
      </c>
      <c r="C81" t="s">
        <v>30</v>
      </c>
      <c r="D81" t="s">
        <v>40</v>
      </c>
      <c r="E81" t="s">
        <v>37</v>
      </c>
      <c r="F81" t="s">
        <v>27</v>
      </c>
      <c r="G81" t="s">
        <v>22</v>
      </c>
      <c r="H81">
        <v>1</v>
      </c>
      <c r="I81" s="12">
        <v>198.73</v>
      </c>
      <c r="J81" s="12">
        <v>0.05</v>
      </c>
      <c r="K81" s="9">
        <v>188.79</v>
      </c>
      <c r="L81" s="9">
        <v>19.38</v>
      </c>
      <c r="M81" s="9">
        <f t="shared" si="1"/>
        <v>9.9365000000000006</v>
      </c>
    </row>
    <row r="82" spans="1:13" x14ac:dyDescent="0.3">
      <c r="A82" t="s">
        <v>183</v>
      </c>
      <c r="B82" s="1">
        <v>45681</v>
      </c>
      <c r="C82" t="s">
        <v>184</v>
      </c>
      <c r="D82" t="s">
        <v>14</v>
      </c>
      <c r="E82" t="s">
        <v>37</v>
      </c>
      <c r="F82" t="s">
        <v>27</v>
      </c>
      <c r="G82" t="s">
        <v>22</v>
      </c>
      <c r="H82">
        <v>5</v>
      </c>
      <c r="I82" s="12">
        <v>213.35</v>
      </c>
      <c r="J82" s="12">
        <v>0</v>
      </c>
      <c r="K82" s="9">
        <v>1066.76</v>
      </c>
      <c r="L82" s="9">
        <v>120.86</v>
      </c>
      <c r="M82" s="9">
        <f t="shared" si="1"/>
        <v>0</v>
      </c>
    </row>
    <row r="83" spans="1:13" x14ac:dyDescent="0.3">
      <c r="A83" t="s">
        <v>185</v>
      </c>
      <c r="B83" s="1">
        <v>45681</v>
      </c>
      <c r="C83" t="s">
        <v>134</v>
      </c>
      <c r="D83" t="s">
        <v>14</v>
      </c>
      <c r="E83" t="s">
        <v>20</v>
      </c>
      <c r="F83" t="s">
        <v>21</v>
      </c>
      <c r="G83" t="s">
        <v>28</v>
      </c>
      <c r="H83">
        <v>1</v>
      </c>
      <c r="I83" s="12">
        <v>187.9</v>
      </c>
      <c r="J83" s="12">
        <v>0</v>
      </c>
      <c r="K83" s="9">
        <v>187.9</v>
      </c>
      <c r="L83" s="9">
        <v>47.15</v>
      </c>
      <c r="M83" s="9">
        <f t="shared" si="1"/>
        <v>0</v>
      </c>
    </row>
    <row r="84" spans="1:13" x14ac:dyDescent="0.3">
      <c r="A84" t="s">
        <v>186</v>
      </c>
      <c r="B84" s="1">
        <v>45682</v>
      </c>
      <c r="C84" t="s">
        <v>187</v>
      </c>
      <c r="D84" t="s">
        <v>25</v>
      </c>
      <c r="E84" t="s">
        <v>26</v>
      </c>
      <c r="F84" t="s">
        <v>27</v>
      </c>
      <c r="G84" t="s">
        <v>32</v>
      </c>
      <c r="H84">
        <v>3</v>
      </c>
      <c r="I84" s="12">
        <v>68.55</v>
      </c>
      <c r="J84" s="12">
        <v>0</v>
      </c>
      <c r="K84" s="9">
        <v>205.65</v>
      </c>
      <c r="L84" s="9">
        <v>18.78</v>
      </c>
      <c r="M84" s="9">
        <f t="shared" si="1"/>
        <v>0</v>
      </c>
    </row>
    <row r="85" spans="1:13" x14ac:dyDescent="0.3">
      <c r="A85" t="s">
        <v>188</v>
      </c>
      <c r="B85" s="1">
        <v>45682</v>
      </c>
      <c r="C85" t="s">
        <v>189</v>
      </c>
      <c r="D85" t="s">
        <v>40</v>
      </c>
      <c r="E85" t="s">
        <v>110</v>
      </c>
      <c r="F85" t="s">
        <v>42</v>
      </c>
      <c r="G85" t="s">
        <v>17</v>
      </c>
      <c r="H85">
        <v>2</v>
      </c>
      <c r="I85" s="12">
        <v>20.91</v>
      </c>
      <c r="J85" s="12">
        <v>0.1</v>
      </c>
      <c r="K85" s="9">
        <v>37.65</v>
      </c>
      <c r="L85" s="9">
        <v>2.11</v>
      </c>
      <c r="M85" s="9">
        <f t="shared" si="1"/>
        <v>4.1820000000000004</v>
      </c>
    </row>
    <row r="86" spans="1:13" x14ac:dyDescent="0.3">
      <c r="A86" t="s">
        <v>190</v>
      </c>
      <c r="B86" s="1">
        <v>45682</v>
      </c>
      <c r="C86" t="s">
        <v>191</v>
      </c>
      <c r="D86" t="s">
        <v>14</v>
      </c>
      <c r="E86" t="s">
        <v>41</v>
      </c>
      <c r="F86" t="s">
        <v>42</v>
      </c>
      <c r="G86" t="s">
        <v>17</v>
      </c>
      <c r="H86">
        <v>1</v>
      </c>
      <c r="I86" s="12">
        <v>58.56</v>
      </c>
      <c r="J86" s="12">
        <v>0.2</v>
      </c>
      <c r="K86" s="9">
        <v>46.85</v>
      </c>
      <c r="L86" s="9">
        <v>8.16</v>
      </c>
      <c r="M86" s="9">
        <f t="shared" si="1"/>
        <v>11.712000000000002</v>
      </c>
    </row>
    <row r="87" spans="1:13" x14ac:dyDescent="0.3">
      <c r="A87" t="s">
        <v>192</v>
      </c>
      <c r="B87" s="1">
        <v>45682</v>
      </c>
      <c r="C87" t="s">
        <v>193</v>
      </c>
      <c r="D87" t="s">
        <v>14</v>
      </c>
      <c r="E87" t="s">
        <v>20</v>
      </c>
      <c r="F87" t="s">
        <v>21</v>
      </c>
      <c r="G87" t="s">
        <v>22</v>
      </c>
      <c r="H87">
        <v>3</v>
      </c>
      <c r="I87" s="12">
        <v>185.71</v>
      </c>
      <c r="J87" s="12">
        <v>0.1</v>
      </c>
      <c r="K87" s="9">
        <v>501.41</v>
      </c>
      <c r="L87" s="9">
        <v>103.06</v>
      </c>
      <c r="M87" s="9">
        <f t="shared" si="1"/>
        <v>55.713000000000001</v>
      </c>
    </row>
    <row r="88" spans="1:13" x14ac:dyDescent="0.3">
      <c r="A88" t="s">
        <v>194</v>
      </c>
      <c r="B88" s="1">
        <v>45682</v>
      </c>
      <c r="C88" t="s">
        <v>195</v>
      </c>
      <c r="D88" t="s">
        <v>14</v>
      </c>
      <c r="E88" t="s">
        <v>26</v>
      </c>
      <c r="F88" t="s">
        <v>27</v>
      </c>
      <c r="G88" t="s">
        <v>22</v>
      </c>
      <c r="H88">
        <v>1</v>
      </c>
      <c r="I88" s="12">
        <v>80.02</v>
      </c>
      <c r="J88" s="12">
        <v>0</v>
      </c>
      <c r="K88" s="9">
        <v>80.02</v>
      </c>
      <c r="L88" s="9">
        <v>22</v>
      </c>
      <c r="M88" s="9">
        <f t="shared" si="1"/>
        <v>0</v>
      </c>
    </row>
    <row r="89" spans="1:13" x14ac:dyDescent="0.3">
      <c r="A89" t="s">
        <v>196</v>
      </c>
      <c r="B89" s="1">
        <v>45682</v>
      </c>
      <c r="C89" t="s">
        <v>197</v>
      </c>
      <c r="D89" t="s">
        <v>40</v>
      </c>
      <c r="E89" t="s">
        <v>65</v>
      </c>
      <c r="F89" t="s">
        <v>16</v>
      </c>
      <c r="G89" t="s">
        <v>32</v>
      </c>
      <c r="H89">
        <v>1</v>
      </c>
      <c r="I89" s="12">
        <v>16.29</v>
      </c>
      <c r="J89" s="12">
        <v>0.1</v>
      </c>
      <c r="K89" s="9">
        <v>14.66</v>
      </c>
      <c r="L89" s="9">
        <v>2.46</v>
      </c>
      <c r="M89" s="9">
        <f t="shared" si="1"/>
        <v>1.629</v>
      </c>
    </row>
    <row r="90" spans="1:13" x14ac:dyDescent="0.3">
      <c r="A90" t="s">
        <v>198</v>
      </c>
      <c r="B90" s="1">
        <v>45682</v>
      </c>
      <c r="C90" t="s">
        <v>99</v>
      </c>
      <c r="D90" t="s">
        <v>40</v>
      </c>
      <c r="E90" t="s">
        <v>20</v>
      </c>
      <c r="F90" t="s">
        <v>21</v>
      </c>
      <c r="G90" t="s">
        <v>28</v>
      </c>
      <c r="H90">
        <v>2</v>
      </c>
      <c r="I90" s="12">
        <v>171.84</v>
      </c>
      <c r="J90" s="12">
        <v>0</v>
      </c>
      <c r="K90" s="9">
        <v>343.68</v>
      </c>
      <c r="L90" s="9">
        <v>91.05</v>
      </c>
      <c r="M90" s="9">
        <f t="shared" si="1"/>
        <v>0</v>
      </c>
    </row>
    <row r="91" spans="1:13" x14ac:dyDescent="0.3">
      <c r="A91" t="s">
        <v>199</v>
      </c>
      <c r="B91" s="1">
        <v>45683</v>
      </c>
      <c r="C91" t="s">
        <v>200</v>
      </c>
      <c r="D91" t="s">
        <v>25</v>
      </c>
      <c r="E91" t="s">
        <v>54</v>
      </c>
      <c r="F91" t="s">
        <v>27</v>
      </c>
      <c r="G91" t="s">
        <v>17</v>
      </c>
      <c r="H91">
        <v>2</v>
      </c>
      <c r="I91" s="12">
        <v>26.12</v>
      </c>
      <c r="J91" s="12">
        <v>0.05</v>
      </c>
      <c r="K91" s="9">
        <v>49.62</v>
      </c>
      <c r="L91" s="9">
        <v>11.23</v>
      </c>
      <c r="M91" s="9">
        <f t="shared" si="1"/>
        <v>2.6120000000000001</v>
      </c>
    </row>
    <row r="92" spans="1:13" x14ac:dyDescent="0.3">
      <c r="A92" t="s">
        <v>201</v>
      </c>
      <c r="B92" s="1">
        <v>45683</v>
      </c>
      <c r="C92" t="s">
        <v>139</v>
      </c>
      <c r="D92" t="s">
        <v>25</v>
      </c>
      <c r="E92" t="s">
        <v>31</v>
      </c>
      <c r="F92" t="s">
        <v>21</v>
      </c>
      <c r="G92" t="s">
        <v>28</v>
      </c>
      <c r="H92">
        <v>2</v>
      </c>
      <c r="I92" s="12">
        <v>43.8</v>
      </c>
      <c r="J92" s="12">
        <v>0</v>
      </c>
      <c r="K92" s="9">
        <v>87.6</v>
      </c>
      <c r="L92" s="9">
        <v>17.93</v>
      </c>
      <c r="M92" s="9">
        <f t="shared" si="1"/>
        <v>0</v>
      </c>
    </row>
    <row r="93" spans="1:13" x14ac:dyDescent="0.3">
      <c r="A93" t="s">
        <v>202</v>
      </c>
      <c r="B93" s="1">
        <v>45683</v>
      </c>
      <c r="C93" t="s">
        <v>203</v>
      </c>
      <c r="D93" t="s">
        <v>14</v>
      </c>
      <c r="E93" t="s">
        <v>20</v>
      </c>
      <c r="F93" t="s">
        <v>21</v>
      </c>
      <c r="G93" t="s">
        <v>17</v>
      </c>
      <c r="H93">
        <v>2</v>
      </c>
      <c r="I93" s="12">
        <v>173.96</v>
      </c>
      <c r="J93" s="12">
        <v>0.1</v>
      </c>
      <c r="K93" s="9">
        <v>313.12</v>
      </c>
      <c r="L93" s="9">
        <v>74.510000000000005</v>
      </c>
      <c r="M93" s="9">
        <f t="shared" si="1"/>
        <v>34.792000000000002</v>
      </c>
    </row>
    <row r="94" spans="1:13" x14ac:dyDescent="0.3">
      <c r="A94" t="s">
        <v>204</v>
      </c>
      <c r="B94" s="1">
        <v>45684</v>
      </c>
      <c r="C94" t="s">
        <v>205</v>
      </c>
      <c r="D94" t="s">
        <v>14</v>
      </c>
      <c r="E94" t="s">
        <v>56</v>
      </c>
      <c r="F94" t="s">
        <v>21</v>
      </c>
      <c r="G94" t="s">
        <v>17</v>
      </c>
      <c r="H94">
        <v>1</v>
      </c>
      <c r="I94" s="12">
        <v>361.61</v>
      </c>
      <c r="J94" s="12">
        <v>0.1</v>
      </c>
      <c r="K94" s="9">
        <v>325.45</v>
      </c>
      <c r="L94" s="9">
        <v>58.69</v>
      </c>
      <c r="M94" s="9">
        <f t="shared" si="1"/>
        <v>36.161000000000001</v>
      </c>
    </row>
    <row r="95" spans="1:13" x14ac:dyDescent="0.3">
      <c r="A95" t="s">
        <v>206</v>
      </c>
      <c r="B95" s="1">
        <v>45684</v>
      </c>
      <c r="C95" t="s">
        <v>207</v>
      </c>
      <c r="D95" t="s">
        <v>25</v>
      </c>
      <c r="E95" t="s">
        <v>56</v>
      </c>
      <c r="F95" t="s">
        <v>21</v>
      </c>
      <c r="G95" t="s">
        <v>17</v>
      </c>
      <c r="H95">
        <v>1</v>
      </c>
      <c r="I95" s="12">
        <v>335.56</v>
      </c>
      <c r="J95" s="12">
        <v>0.05</v>
      </c>
      <c r="K95" s="9">
        <v>318.77999999999997</v>
      </c>
      <c r="L95" s="9">
        <v>81.66</v>
      </c>
      <c r="M95" s="9">
        <f t="shared" si="1"/>
        <v>16.778000000000002</v>
      </c>
    </row>
    <row r="96" spans="1:13" x14ac:dyDescent="0.3">
      <c r="A96" t="s">
        <v>208</v>
      </c>
      <c r="B96" s="1">
        <v>45685</v>
      </c>
      <c r="C96" t="s">
        <v>209</v>
      </c>
      <c r="D96" t="s">
        <v>14</v>
      </c>
      <c r="E96" t="s">
        <v>56</v>
      </c>
      <c r="F96" t="s">
        <v>21</v>
      </c>
      <c r="G96" t="s">
        <v>22</v>
      </c>
      <c r="H96">
        <v>3</v>
      </c>
      <c r="I96" s="12">
        <v>355.75</v>
      </c>
      <c r="J96" s="12">
        <v>0</v>
      </c>
      <c r="K96" s="9">
        <v>1067.26</v>
      </c>
      <c r="L96" s="9">
        <v>146.72999999999999</v>
      </c>
      <c r="M96" s="9">
        <f t="shared" si="1"/>
        <v>0</v>
      </c>
    </row>
    <row r="97" spans="1:13" x14ac:dyDescent="0.3">
      <c r="A97" t="s">
        <v>210</v>
      </c>
      <c r="B97" s="1">
        <v>45685</v>
      </c>
      <c r="C97" t="s">
        <v>97</v>
      </c>
      <c r="D97" t="s">
        <v>14</v>
      </c>
      <c r="E97" t="s">
        <v>65</v>
      </c>
      <c r="F97" t="s">
        <v>16</v>
      </c>
      <c r="G97" t="s">
        <v>22</v>
      </c>
      <c r="H97">
        <v>2</v>
      </c>
      <c r="I97" s="12">
        <v>18.309999999999999</v>
      </c>
      <c r="J97" s="12">
        <v>0.1</v>
      </c>
      <c r="K97" s="9">
        <v>32.950000000000003</v>
      </c>
      <c r="L97" s="9">
        <v>8.49</v>
      </c>
      <c r="M97" s="9">
        <f t="shared" si="1"/>
        <v>3.6619999999999999</v>
      </c>
    </row>
    <row r="98" spans="1:13" x14ac:dyDescent="0.3">
      <c r="A98" t="s">
        <v>211</v>
      </c>
      <c r="B98" s="1">
        <v>45685</v>
      </c>
      <c r="C98" t="s">
        <v>212</v>
      </c>
      <c r="D98" t="s">
        <v>40</v>
      </c>
      <c r="E98" t="s">
        <v>41</v>
      </c>
      <c r="F98" t="s">
        <v>42</v>
      </c>
      <c r="G98" t="s">
        <v>22</v>
      </c>
      <c r="H98">
        <v>1</v>
      </c>
      <c r="I98" s="12">
        <v>53.2</v>
      </c>
      <c r="J98" s="12">
        <v>0</v>
      </c>
      <c r="K98" s="9">
        <v>53.2</v>
      </c>
      <c r="L98" s="9">
        <v>10.3</v>
      </c>
      <c r="M98" s="9">
        <f t="shared" si="1"/>
        <v>0</v>
      </c>
    </row>
    <row r="99" spans="1:13" x14ac:dyDescent="0.3">
      <c r="A99" t="s">
        <v>213</v>
      </c>
      <c r="B99" s="1">
        <v>45685</v>
      </c>
      <c r="C99" t="s">
        <v>214</v>
      </c>
      <c r="D99" t="s">
        <v>40</v>
      </c>
      <c r="E99" t="s">
        <v>20</v>
      </c>
      <c r="F99" t="s">
        <v>21</v>
      </c>
      <c r="G99" t="s">
        <v>32</v>
      </c>
      <c r="H99">
        <v>2</v>
      </c>
      <c r="I99" s="12">
        <v>163.98</v>
      </c>
      <c r="J99" s="12">
        <v>0.1</v>
      </c>
      <c r="K99" s="9">
        <v>295.17</v>
      </c>
      <c r="L99" s="9">
        <v>68.489999999999995</v>
      </c>
      <c r="M99" s="9">
        <f t="shared" si="1"/>
        <v>32.795999999999999</v>
      </c>
    </row>
    <row r="100" spans="1:13" x14ac:dyDescent="0.3">
      <c r="A100" t="s">
        <v>215</v>
      </c>
      <c r="B100" s="1">
        <v>45685</v>
      </c>
      <c r="C100" t="s">
        <v>157</v>
      </c>
      <c r="D100" t="s">
        <v>40</v>
      </c>
      <c r="E100" t="s">
        <v>31</v>
      </c>
      <c r="F100" t="s">
        <v>21</v>
      </c>
      <c r="G100" t="s">
        <v>22</v>
      </c>
      <c r="H100">
        <v>1</v>
      </c>
      <c r="I100" s="12">
        <v>45.5</v>
      </c>
      <c r="J100" s="12">
        <v>0</v>
      </c>
      <c r="K100" s="9">
        <v>45.5</v>
      </c>
      <c r="L100" s="9">
        <v>8.74</v>
      </c>
      <c r="M100" s="9">
        <f t="shared" si="1"/>
        <v>0</v>
      </c>
    </row>
    <row r="101" spans="1:13" x14ac:dyDescent="0.3">
      <c r="A101" t="s">
        <v>216</v>
      </c>
      <c r="B101" s="1">
        <v>45686</v>
      </c>
      <c r="C101" t="s">
        <v>217</v>
      </c>
      <c r="D101" t="s">
        <v>25</v>
      </c>
      <c r="E101" t="s">
        <v>65</v>
      </c>
      <c r="F101" t="s">
        <v>16</v>
      </c>
      <c r="G101" t="s">
        <v>32</v>
      </c>
      <c r="H101">
        <v>1</v>
      </c>
      <c r="I101" s="12">
        <v>16.46</v>
      </c>
      <c r="J101" s="12">
        <v>0.1</v>
      </c>
      <c r="K101" s="9">
        <v>14.81</v>
      </c>
      <c r="L101" s="9">
        <v>3.05</v>
      </c>
      <c r="M101" s="9">
        <f t="shared" si="1"/>
        <v>1.6460000000000001</v>
      </c>
    </row>
    <row r="102" spans="1:13" x14ac:dyDescent="0.3">
      <c r="A102" t="s">
        <v>218</v>
      </c>
      <c r="B102" s="1">
        <v>45686</v>
      </c>
      <c r="C102" t="s">
        <v>219</v>
      </c>
      <c r="D102" t="s">
        <v>14</v>
      </c>
      <c r="E102" t="s">
        <v>31</v>
      </c>
      <c r="F102" t="s">
        <v>21</v>
      </c>
      <c r="G102" t="s">
        <v>22</v>
      </c>
      <c r="H102">
        <v>2</v>
      </c>
      <c r="I102" s="12">
        <v>44.84</v>
      </c>
      <c r="J102" s="12">
        <v>0.15</v>
      </c>
      <c r="K102" s="9">
        <v>76.22</v>
      </c>
      <c r="L102" s="9">
        <v>16.260000000000002</v>
      </c>
      <c r="M102" s="9">
        <f t="shared" si="1"/>
        <v>13.452</v>
      </c>
    </row>
    <row r="103" spans="1:13" x14ac:dyDescent="0.3">
      <c r="A103" t="s">
        <v>220</v>
      </c>
      <c r="B103" s="1">
        <v>45686</v>
      </c>
      <c r="C103" t="s">
        <v>221</v>
      </c>
      <c r="D103" t="s">
        <v>25</v>
      </c>
      <c r="E103" t="s">
        <v>31</v>
      </c>
      <c r="F103" t="s">
        <v>21</v>
      </c>
      <c r="G103" t="s">
        <v>17</v>
      </c>
      <c r="H103">
        <v>5</v>
      </c>
      <c r="I103" s="12">
        <v>41.98</v>
      </c>
      <c r="J103" s="12">
        <v>0</v>
      </c>
      <c r="K103" s="9">
        <v>209.9</v>
      </c>
      <c r="L103" s="9">
        <v>25.78</v>
      </c>
      <c r="M103" s="9">
        <f t="shared" si="1"/>
        <v>0</v>
      </c>
    </row>
    <row r="104" spans="1:13" x14ac:dyDescent="0.3">
      <c r="A104" t="s">
        <v>222</v>
      </c>
      <c r="B104" s="1">
        <v>45686</v>
      </c>
      <c r="C104" t="s">
        <v>89</v>
      </c>
      <c r="D104" t="s">
        <v>25</v>
      </c>
      <c r="E104" t="s">
        <v>56</v>
      </c>
      <c r="F104" t="s">
        <v>21</v>
      </c>
      <c r="G104" t="s">
        <v>32</v>
      </c>
      <c r="H104">
        <v>4</v>
      </c>
      <c r="I104" s="12">
        <v>323.23</v>
      </c>
      <c r="J104" s="12">
        <v>0.15</v>
      </c>
      <c r="K104" s="9">
        <v>1099</v>
      </c>
      <c r="L104" s="9">
        <v>101.68</v>
      </c>
      <c r="M104" s="9">
        <f t="shared" si="1"/>
        <v>193.93800000000002</v>
      </c>
    </row>
    <row r="105" spans="1:13" x14ac:dyDescent="0.3">
      <c r="A105" t="s">
        <v>223</v>
      </c>
      <c r="B105" s="1">
        <v>45687</v>
      </c>
      <c r="C105" t="s">
        <v>224</v>
      </c>
      <c r="D105" t="s">
        <v>14</v>
      </c>
      <c r="E105" t="s">
        <v>15</v>
      </c>
      <c r="F105" t="s">
        <v>16</v>
      </c>
      <c r="G105" t="s">
        <v>32</v>
      </c>
      <c r="H105">
        <v>2</v>
      </c>
      <c r="I105" s="12">
        <v>12.68</v>
      </c>
      <c r="J105" s="12">
        <v>0</v>
      </c>
      <c r="K105" s="9">
        <v>25.36</v>
      </c>
      <c r="L105" s="9">
        <v>6.11</v>
      </c>
      <c r="M105" s="9">
        <f t="shared" si="1"/>
        <v>0</v>
      </c>
    </row>
    <row r="106" spans="1:13" x14ac:dyDescent="0.3">
      <c r="A106" t="s">
        <v>225</v>
      </c>
      <c r="B106" s="1">
        <v>45687</v>
      </c>
      <c r="C106" t="s">
        <v>226</v>
      </c>
      <c r="D106" t="s">
        <v>40</v>
      </c>
      <c r="E106" t="s">
        <v>56</v>
      </c>
      <c r="F106" t="s">
        <v>21</v>
      </c>
      <c r="G106" t="s">
        <v>17</v>
      </c>
      <c r="H106">
        <v>3</v>
      </c>
      <c r="I106" s="12">
        <v>315.29000000000002</v>
      </c>
      <c r="J106" s="12">
        <v>0.1</v>
      </c>
      <c r="K106" s="9">
        <v>851.27</v>
      </c>
      <c r="L106" s="9">
        <v>213.93</v>
      </c>
      <c r="M106" s="9">
        <f t="shared" si="1"/>
        <v>94.587000000000018</v>
      </c>
    </row>
    <row r="107" spans="1:13" x14ac:dyDescent="0.3">
      <c r="A107" t="s">
        <v>227</v>
      </c>
      <c r="B107" s="1">
        <v>45687</v>
      </c>
      <c r="C107" t="s">
        <v>228</v>
      </c>
      <c r="D107" t="s">
        <v>25</v>
      </c>
      <c r="E107" t="s">
        <v>31</v>
      </c>
      <c r="F107" t="s">
        <v>21</v>
      </c>
      <c r="G107" t="s">
        <v>22</v>
      </c>
      <c r="H107">
        <v>2</v>
      </c>
      <c r="I107" s="12">
        <v>42.49</v>
      </c>
      <c r="J107" s="12">
        <v>0</v>
      </c>
      <c r="K107" s="9">
        <v>84.98</v>
      </c>
      <c r="L107" s="9">
        <v>20.59</v>
      </c>
      <c r="M107" s="9">
        <f t="shared" si="1"/>
        <v>0</v>
      </c>
    </row>
    <row r="108" spans="1:13" x14ac:dyDescent="0.3">
      <c r="A108" t="s">
        <v>229</v>
      </c>
      <c r="B108" s="1">
        <v>45687</v>
      </c>
      <c r="C108" t="s">
        <v>101</v>
      </c>
      <c r="D108" t="s">
        <v>40</v>
      </c>
      <c r="E108" t="s">
        <v>37</v>
      </c>
      <c r="F108" t="s">
        <v>27</v>
      </c>
      <c r="G108" t="s">
        <v>17</v>
      </c>
      <c r="H108">
        <v>1</v>
      </c>
      <c r="I108" s="12">
        <v>198.8</v>
      </c>
      <c r="J108" s="12">
        <v>0.1</v>
      </c>
      <c r="K108" s="9">
        <v>178.92</v>
      </c>
      <c r="L108" s="9">
        <v>32</v>
      </c>
      <c r="M108" s="9">
        <f t="shared" si="1"/>
        <v>19.880000000000003</v>
      </c>
    </row>
    <row r="109" spans="1:13" x14ac:dyDescent="0.3">
      <c r="A109" t="s">
        <v>230</v>
      </c>
      <c r="B109" s="1">
        <v>45687</v>
      </c>
      <c r="C109" t="s">
        <v>231</v>
      </c>
      <c r="D109" t="s">
        <v>14</v>
      </c>
      <c r="E109" t="s">
        <v>65</v>
      </c>
      <c r="F109" t="s">
        <v>16</v>
      </c>
      <c r="G109" t="s">
        <v>28</v>
      </c>
      <c r="H109">
        <v>5</v>
      </c>
      <c r="I109" s="12">
        <v>19.399999999999999</v>
      </c>
      <c r="J109" s="12">
        <v>0</v>
      </c>
      <c r="K109" s="9">
        <v>96.99</v>
      </c>
      <c r="L109" s="9">
        <v>19.46</v>
      </c>
      <c r="M109" s="9">
        <f t="shared" si="1"/>
        <v>0</v>
      </c>
    </row>
    <row r="110" spans="1:13" x14ac:dyDescent="0.3">
      <c r="A110" t="s">
        <v>232</v>
      </c>
      <c r="B110" s="1">
        <v>45688</v>
      </c>
      <c r="C110" t="s">
        <v>134</v>
      </c>
      <c r="D110" t="s">
        <v>25</v>
      </c>
      <c r="E110" t="s">
        <v>51</v>
      </c>
      <c r="F110" t="s">
        <v>27</v>
      </c>
      <c r="G110" t="s">
        <v>17</v>
      </c>
      <c r="H110">
        <v>1</v>
      </c>
      <c r="I110" s="12">
        <v>945.66</v>
      </c>
      <c r="J110" s="12">
        <v>0.1</v>
      </c>
      <c r="K110" s="9">
        <v>851.09</v>
      </c>
      <c r="L110" s="9">
        <v>78.64</v>
      </c>
      <c r="M110" s="9">
        <f t="shared" si="1"/>
        <v>94.566000000000003</v>
      </c>
    </row>
    <row r="111" spans="1:13" x14ac:dyDescent="0.3">
      <c r="A111" t="s">
        <v>233</v>
      </c>
      <c r="B111" s="1">
        <v>45689</v>
      </c>
      <c r="C111" t="s">
        <v>234</v>
      </c>
      <c r="D111" t="s">
        <v>40</v>
      </c>
      <c r="E111" t="s">
        <v>92</v>
      </c>
      <c r="F111" t="s">
        <v>16</v>
      </c>
      <c r="G111" t="s">
        <v>28</v>
      </c>
      <c r="H111">
        <v>5</v>
      </c>
      <c r="I111" s="12">
        <v>9.8699999999999992</v>
      </c>
      <c r="J111" s="12">
        <v>0.05</v>
      </c>
      <c r="K111" s="9">
        <v>46.89</v>
      </c>
      <c r="L111" s="9">
        <v>9.44</v>
      </c>
      <c r="M111" s="9">
        <f t="shared" si="1"/>
        <v>2.4674999999999998</v>
      </c>
    </row>
    <row r="112" spans="1:13" x14ac:dyDescent="0.3">
      <c r="A112" t="s">
        <v>235</v>
      </c>
      <c r="B112" s="1">
        <v>45691</v>
      </c>
      <c r="C112" t="s">
        <v>236</v>
      </c>
      <c r="D112" t="s">
        <v>40</v>
      </c>
      <c r="E112" t="s">
        <v>51</v>
      </c>
      <c r="F112" t="s">
        <v>27</v>
      </c>
      <c r="G112" t="s">
        <v>17</v>
      </c>
      <c r="H112">
        <v>1</v>
      </c>
      <c r="I112" s="12">
        <v>974.3</v>
      </c>
      <c r="J112" s="12">
        <v>0.1</v>
      </c>
      <c r="K112" s="9">
        <v>876.87</v>
      </c>
      <c r="L112" s="9">
        <v>59.84</v>
      </c>
      <c r="M112" s="9">
        <f t="shared" si="1"/>
        <v>97.43</v>
      </c>
    </row>
    <row r="113" spans="1:13" x14ac:dyDescent="0.3">
      <c r="A113" t="s">
        <v>237</v>
      </c>
      <c r="B113" s="1">
        <v>45692</v>
      </c>
      <c r="C113" t="s">
        <v>58</v>
      </c>
      <c r="D113" t="s">
        <v>40</v>
      </c>
      <c r="E113" t="s">
        <v>31</v>
      </c>
      <c r="F113" t="s">
        <v>21</v>
      </c>
      <c r="G113" t="s">
        <v>17</v>
      </c>
      <c r="H113">
        <v>4</v>
      </c>
      <c r="I113" s="12">
        <v>40.92</v>
      </c>
      <c r="J113" s="12">
        <v>0.15</v>
      </c>
      <c r="K113" s="9">
        <v>139.13</v>
      </c>
      <c r="L113" s="9">
        <v>11.39</v>
      </c>
      <c r="M113" s="9">
        <f t="shared" si="1"/>
        <v>24.552</v>
      </c>
    </row>
    <row r="114" spans="1:13" x14ac:dyDescent="0.3">
      <c r="A114" t="s">
        <v>238</v>
      </c>
      <c r="B114" s="1">
        <v>45692</v>
      </c>
      <c r="C114" t="s">
        <v>94</v>
      </c>
      <c r="D114" t="s">
        <v>14</v>
      </c>
      <c r="E114" t="s">
        <v>56</v>
      </c>
      <c r="F114" t="s">
        <v>21</v>
      </c>
      <c r="G114" t="s">
        <v>32</v>
      </c>
      <c r="H114">
        <v>2</v>
      </c>
      <c r="I114" s="12">
        <v>344.99</v>
      </c>
      <c r="J114" s="12">
        <v>0.15</v>
      </c>
      <c r="K114" s="9">
        <v>586.49</v>
      </c>
      <c r="L114" s="9">
        <v>115.23</v>
      </c>
      <c r="M114" s="9">
        <f t="shared" si="1"/>
        <v>103.497</v>
      </c>
    </row>
    <row r="115" spans="1:13" x14ac:dyDescent="0.3">
      <c r="A115" t="s">
        <v>239</v>
      </c>
      <c r="B115" s="1">
        <v>45692</v>
      </c>
      <c r="C115" t="s">
        <v>240</v>
      </c>
      <c r="D115" t="s">
        <v>14</v>
      </c>
      <c r="E115" t="s">
        <v>26</v>
      </c>
      <c r="F115" t="s">
        <v>27</v>
      </c>
      <c r="G115" t="s">
        <v>28</v>
      </c>
      <c r="H115">
        <v>2</v>
      </c>
      <c r="I115" s="12">
        <v>78.599999999999994</v>
      </c>
      <c r="J115" s="12">
        <v>0</v>
      </c>
      <c r="K115" s="9">
        <v>157.19999999999999</v>
      </c>
      <c r="L115" s="9">
        <v>41.44</v>
      </c>
      <c r="M115" s="9">
        <f t="shared" si="1"/>
        <v>0</v>
      </c>
    </row>
    <row r="116" spans="1:13" x14ac:dyDescent="0.3">
      <c r="A116" t="s">
        <v>241</v>
      </c>
      <c r="B116" s="1">
        <v>45692</v>
      </c>
      <c r="C116" t="s">
        <v>46</v>
      </c>
      <c r="D116" t="s">
        <v>25</v>
      </c>
      <c r="E116" t="s">
        <v>51</v>
      </c>
      <c r="F116" t="s">
        <v>27</v>
      </c>
      <c r="G116" t="s">
        <v>17</v>
      </c>
      <c r="H116">
        <v>4</v>
      </c>
      <c r="I116" s="12">
        <v>899.84</v>
      </c>
      <c r="J116" s="12">
        <v>0.1</v>
      </c>
      <c r="K116" s="9">
        <v>3239.41</v>
      </c>
      <c r="L116" s="9">
        <v>374.5</v>
      </c>
      <c r="M116" s="9">
        <f t="shared" si="1"/>
        <v>359.93600000000004</v>
      </c>
    </row>
    <row r="117" spans="1:13" x14ac:dyDescent="0.3">
      <c r="A117" t="s">
        <v>242</v>
      </c>
      <c r="B117" s="1">
        <v>45692</v>
      </c>
      <c r="C117" t="s">
        <v>243</v>
      </c>
      <c r="D117" t="s">
        <v>14</v>
      </c>
      <c r="E117" t="s">
        <v>26</v>
      </c>
      <c r="F117" t="s">
        <v>27</v>
      </c>
      <c r="G117" t="s">
        <v>32</v>
      </c>
      <c r="H117">
        <v>4</v>
      </c>
      <c r="I117" s="12">
        <v>80.81</v>
      </c>
      <c r="J117" s="12">
        <v>0.15</v>
      </c>
      <c r="K117" s="9">
        <v>274.76</v>
      </c>
      <c r="L117" s="9">
        <v>45.17</v>
      </c>
      <c r="M117" s="9">
        <f t="shared" si="1"/>
        <v>48.485999999999997</v>
      </c>
    </row>
    <row r="118" spans="1:13" x14ac:dyDescent="0.3">
      <c r="A118" t="s">
        <v>244</v>
      </c>
      <c r="B118" s="1">
        <v>45693</v>
      </c>
      <c r="C118" t="s">
        <v>68</v>
      </c>
      <c r="D118" t="s">
        <v>40</v>
      </c>
      <c r="E118" t="s">
        <v>15</v>
      </c>
      <c r="F118" t="s">
        <v>16</v>
      </c>
      <c r="G118" t="s">
        <v>22</v>
      </c>
      <c r="H118">
        <v>2</v>
      </c>
      <c r="I118" s="12">
        <v>13.56</v>
      </c>
      <c r="J118" s="12">
        <v>0.05</v>
      </c>
      <c r="K118" s="9">
        <v>25.77</v>
      </c>
      <c r="L118" s="9">
        <v>4.96</v>
      </c>
      <c r="M118" s="9">
        <f t="shared" si="1"/>
        <v>1.3560000000000001</v>
      </c>
    </row>
    <row r="119" spans="1:13" x14ac:dyDescent="0.3">
      <c r="A119" t="s">
        <v>245</v>
      </c>
      <c r="B119" s="1">
        <v>45693</v>
      </c>
      <c r="C119" t="s">
        <v>246</v>
      </c>
      <c r="D119" t="s">
        <v>25</v>
      </c>
      <c r="E119" t="s">
        <v>31</v>
      </c>
      <c r="F119" t="s">
        <v>21</v>
      </c>
      <c r="G119" t="s">
        <v>17</v>
      </c>
      <c r="H119">
        <v>1</v>
      </c>
      <c r="I119" s="12">
        <v>38.71</v>
      </c>
      <c r="J119" s="12">
        <v>0.1</v>
      </c>
      <c r="K119" s="9">
        <v>34.840000000000003</v>
      </c>
      <c r="L119" s="9">
        <v>8.9</v>
      </c>
      <c r="M119" s="9">
        <f t="shared" si="1"/>
        <v>3.8710000000000004</v>
      </c>
    </row>
    <row r="120" spans="1:13" x14ac:dyDescent="0.3">
      <c r="A120" t="s">
        <v>247</v>
      </c>
      <c r="B120" s="1">
        <v>45694</v>
      </c>
      <c r="C120" t="s">
        <v>248</v>
      </c>
      <c r="D120" t="s">
        <v>40</v>
      </c>
      <c r="E120" t="s">
        <v>56</v>
      </c>
      <c r="F120" t="s">
        <v>21</v>
      </c>
      <c r="G120" t="s">
        <v>32</v>
      </c>
      <c r="H120">
        <v>3</v>
      </c>
      <c r="I120" s="12">
        <v>322.85000000000002</v>
      </c>
      <c r="J120" s="12">
        <v>0.05</v>
      </c>
      <c r="K120" s="9">
        <v>920.12</v>
      </c>
      <c r="L120" s="9">
        <v>174.47</v>
      </c>
      <c r="M120" s="9">
        <f t="shared" si="1"/>
        <v>48.427500000000009</v>
      </c>
    </row>
    <row r="121" spans="1:13" x14ac:dyDescent="0.3">
      <c r="A121" t="s">
        <v>249</v>
      </c>
      <c r="B121" s="1">
        <v>45694</v>
      </c>
      <c r="C121" t="s">
        <v>39</v>
      </c>
      <c r="D121" t="s">
        <v>25</v>
      </c>
      <c r="E121" t="s">
        <v>110</v>
      </c>
      <c r="F121" t="s">
        <v>42</v>
      </c>
      <c r="G121" t="s">
        <v>17</v>
      </c>
      <c r="H121">
        <v>1</v>
      </c>
      <c r="I121" s="12">
        <v>23.16</v>
      </c>
      <c r="J121" s="12">
        <v>0.1</v>
      </c>
      <c r="K121" s="9">
        <v>20.84</v>
      </c>
      <c r="L121" s="9">
        <v>4.24</v>
      </c>
      <c r="M121" s="9">
        <f t="shared" si="1"/>
        <v>2.3160000000000003</v>
      </c>
    </row>
    <row r="122" spans="1:13" x14ac:dyDescent="0.3">
      <c r="A122" t="s">
        <v>250</v>
      </c>
      <c r="B122" s="1">
        <v>45695</v>
      </c>
      <c r="C122" t="s">
        <v>251</v>
      </c>
      <c r="D122" t="s">
        <v>25</v>
      </c>
      <c r="E122" t="s">
        <v>56</v>
      </c>
      <c r="F122" t="s">
        <v>21</v>
      </c>
      <c r="G122" t="s">
        <v>28</v>
      </c>
      <c r="H122">
        <v>1</v>
      </c>
      <c r="I122" s="12">
        <v>303.97000000000003</v>
      </c>
      <c r="J122" s="12">
        <v>0.05</v>
      </c>
      <c r="K122" s="9">
        <v>288.77</v>
      </c>
      <c r="L122" s="9">
        <v>22.13</v>
      </c>
      <c r="M122" s="9">
        <f t="shared" si="1"/>
        <v>15.198500000000003</v>
      </c>
    </row>
    <row r="123" spans="1:13" x14ac:dyDescent="0.3">
      <c r="A123" t="s">
        <v>252</v>
      </c>
      <c r="B123" s="1">
        <v>45695</v>
      </c>
      <c r="C123" t="s">
        <v>221</v>
      </c>
      <c r="D123" t="s">
        <v>14</v>
      </c>
      <c r="E123" t="s">
        <v>41</v>
      </c>
      <c r="F123" t="s">
        <v>42</v>
      </c>
      <c r="G123" t="s">
        <v>17</v>
      </c>
      <c r="H123">
        <v>2</v>
      </c>
      <c r="I123" s="12">
        <v>59.41</v>
      </c>
      <c r="J123" s="12">
        <v>0.05</v>
      </c>
      <c r="K123" s="9">
        <v>112.88</v>
      </c>
      <c r="L123" s="9">
        <v>28.85</v>
      </c>
      <c r="M123" s="9">
        <f t="shared" si="1"/>
        <v>5.9409999999999998</v>
      </c>
    </row>
    <row r="124" spans="1:13" x14ac:dyDescent="0.3">
      <c r="A124" t="s">
        <v>253</v>
      </c>
      <c r="B124" s="1">
        <v>45695</v>
      </c>
      <c r="C124" t="s">
        <v>254</v>
      </c>
      <c r="D124" t="s">
        <v>14</v>
      </c>
      <c r="E124" t="s">
        <v>92</v>
      </c>
      <c r="F124" t="s">
        <v>16</v>
      </c>
      <c r="G124" t="s">
        <v>17</v>
      </c>
      <c r="H124">
        <v>3</v>
      </c>
      <c r="I124" s="12">
        <v>9.1300000000000008</v>
      </c>
      <c r="J124" s="12">
        <v>0</v>
      </c>
      <c r="K124" s="9">
        <v>27.38</v>
      </c>
      <c r="L124" s="9">
        <v>6.37</v>
      </c>
      <c r="M124" s="9">
        <f t="shared" si="1"/>
        <v>0</v>
      </c>
    </row>
    <row r="125" spans="1:13" x14ac:dyDescent="0.3">
      <c r="A125" t="s">
        <v>255</v>
      </c>
      <c r="B125" s="1">
        <v>45695</v>
      </c>
      <c r="C125" t="s">
        <v>256</v>
      </c>
      <c r="D125" t="s">
        <v>25</v>
      </c>
      <c r="E125" t="s">
        <v>41</v>
      </c>
      <c r="F125" t="s">
        <v>42</v>
      </c>
      <c r="G125" t="s">
        <v>28</v>
      </c>
      <c r="H125">
        <v>1</v>
      </c>
      <c r="I125" s="12">
        <v>56.84</v>
      </c>
      <c r="J125" s="12">
        <v>0.2</v>
      </c>
      <c r="K125" s="9">
        <v>45.47</v>
      </c>
      <c r="L125" s="9">
        <v>2.02</v>
      </c>
      <c r="M125" s="9">
        <f t="shared" si="1"/>
        <v>11.368000000000002</v>
      </c>
    </row>
    <row r="126" spans="1:13" x14ac:dyDescent="0.3">
      <c r="A126" t="s">
        <v>257</v>
      </c>
      <c r="B126" s="1">
        <v>45695</v>
      </c>
      <c r="C126" t="s">
        <v>243</v>
      </c>
      <c r="D126" t="s">
        <v>40</v>
      </c>
      <c r="E126" t="s">
        <v>31</v>
      </c>
      <c r="F126" t="s">
        <v>21</v>
      </c>
      <c r="G126" t="s">
        <v>22</v>
      </c>
      <c r="H126">
        <v>1</v>
      </c>
      <c r="I126" s="12">
        <v>40.65</v>
      </c>
      <c r="J126" s="12">
        <v>0.15</v>
      </c>
      <c r="K126" s="9">
        <v>34.56</v>
      </c>
      <c r="L126" s="9">
        <v>4.6100000000000003</v>
      </c>
      <c r="M126" s="9">
        <f t="shared" si="1"/>
        <v>6.0974999999999993</v>
      </c>
    </row>
    <row r="127" spans="1:13" x14ac:dyDescent="0.3">
      <c r="A127" t="s">
        <v>258</v>
      </c>
      <c r="B127" s="1">
        <v>45696</v>
      </c>
      <c r="C127" t="s">
        <v>259</v>
      </c>
      <c r="D127" t="s">
        <v>40</v>
      </c>
      <c r="E127" t="s">
        <v>56</v>
      </c>
      <c r="F127" t="s">
        <v>21</v>
      </c>
      <c r="G127" t="s">
        <v>28</v>
      </c>
      <c r="H127">
        <v>1</v>
      </c>
      <c r="I127" s="12">
        <v>329.59</v>
      </c>
      <c r="J127" s="12">
        <v>0</v>
      </c>
      <c r="K127" s="9">
        <v>329.59</v>
      </c>
      <c r="L127" s="9">
        <v>89.75</v>
      </c>
      <c r="M127" s="9">
        <f t="shared" si="1"/>
        <v>0</v>
      </c>
    </row>
    <row r="128" spans="1:13" x14ac:dyDescent="0.3">
      <c r="A128" t="s">
        <v>260</v>
      </c>
      <c r="B128" s="1">
        <v>45696</v>
      </c>
      <c r="C128" t="s">
        <v>261</v>
      </c>
      <c r="D128" t="s">
        <v>14</v>
      </c>
      <c r="E128" t="s">
        <v>31</v>
      </c>
      <c r="F128" t="s">
        <v>21</v>
      </c>
      <c r="G128" t="s">
        <v>17</v>
      </c>
      <c r="H128">
        <v>3</v>
      </c>
      <c r="I128" s="12">
        <v>43.17</v>
      </c>
      <c r="J128" s="12">
        <v>0.05</v>
      </c>
      <c r="K128" s="9">
        <v>123.04</v>
      </c>
      <c r="L128" s="9">
        <v>16.399999999999999</v>
      </c>
      <c r="M128" s="9">
        <f t="shared" si="1"/>
        <v>6.4755000000000003</v>
      </c>
    </row>
    <row r="129" spans="1:13" x14ac:dyDescent="0.3">
      <c r="A129" t="s">
        <v>262</v>
      </c>
      <c r="B129" s="1">
        <v>45696</v>
      </c>
      <c r="C129" t="s">
        <v>78</v>
      </c>
      <c r="D129" t="s">
        <v>14</v>
      </c>
      <c r="E129" t="s">
        <v>20</v>
      </c>
      <c r="F129" t="s">
        <v>21</v>
      </c>
      <c r="G129" t="s">
        <v>32</v>
      </c>
      <c r="H129">
        <v>2</v>
      </c>
      <c r="I129" s="12">
        <v>174.83</v>
      </c>
      <c r="J129" s="12">
        <v>0</v>
      </c>
      <c r="K129" s="9">
        <v>349.67</v>
      </c>
      <c r="L129" s="9">
        <v>39.36</v>
      </c>
      <c r="M129" s="9">
        <f t="shared" si="1"/>
        <v>0</v>
      </c>
    </row>
    <row r="130" spans="1:13" x14ac:dyDescent="0.3">
      <c r="A130" t="s">
        <v>263</v>
      </c>
      <c r="B130" s="1">
        <v>45696</v>
      </c>
      <c r="C130" t="s">
        <v>264</v>
      </c>
      <c r="D130" t="s">
        <v>14</v>
      </c>
      <c r="E130" t="s">
        <v>31</v>
      </c>
      <c r="F130" t="s">
        <v>21</v>
      </c>
      <c r="G130" t="s">
        <v>17</v>
      </c>
      <c r="H130">
        <v>1</v>
      </c>
      <c r="I130" s="12">
        <v>38.11</v>
      </c>
      <c r="J130" s="12">
        <v>0.05</v>
      </c>
      <c r="K130" s="9">
        <v>36.21</v>
      </c>
      <c r="L130" s="9">
        <v>9.09</v>
      </c>
      <c r="M130" s="9">
        <f t="shared" si="1"/>
        <v>1.9055</v>
      </c>
    </row>
    <row r="131" spans="1:13" x14ac:dyDescent="0.3">
      <c r="A131" t="s">
        <v>265</v>
      </c>
      <c r="B131" s="1">
        <v>45696</v>
      </c>
      <c r="C131" t="s">
        <v>266</v>
      </c>
      <c r="D131" t="s">
        <v>40</v>
      </c>
      <c r="E131" t="s">
        <v>51</v>
      </c>
      <c r="F131" t="s">
        <v>27</v>
      </c>
      <c r="G131" t="s">
        <v>17</v>
      </c>
      <c r="H131">
        <v>2</v>
      </c>
      <c r="I131" s="12">
        <v>1040.9000000000001</v>
      </c>
      <c r="J131" s="12">
        <v>0</v>
      </c>
      <c r="K131" s="9">
        <v>2081.79</v>
      </c>
      <c r="L131" s="9">
        <v>478.06</v>
      </c>
      <c r="M131" s="9">
        <f t="shared" ref="M131:M194" si="2">H131*I131*J131</f>
        <v>0</v>
      </c>
    </row>
    <row r="132" spans="1:13" x14ac:dyDescent="0.3">
      <c r="A132" t="s">
        <v>267</v>
      </c>
      <c r="B132" s="1">
        <v>45696</v>
      </c>
      <c r="C132" t="s">
        <v>105</v>
      </c>
      <c r="D132" t="s">
        <v>40</v>
      </c>
      <c r="E132" t="s">
        <v>41</v>
      </c>
      <c r="F132" t="s">
        <v>42</v>
      </c>
      <c r="G132" t="s">
        <v>32</v>
      </c>
      <c r="H132">
        <v>3</v>
      </c>
      <c r="I132" s="12">
        <v>58.62</v>
      </c>
      <c r="J132" s="12">
        <v>0.05</v>
      </c>
      <c r="K132" s="9">
        <v>167.06</v>
      </c>
      <c r="L132" s="9">
        <v>44.2</v>
      </c>
      <c r="M132" s="9">
        <f t="shared" si="2"/>
        <v>8.7929999999999993</v>
      </c>
    </row>
    <row r="133" spans="1:13" x14ac:dyDescent="0.3">
      <c r="A133" t="s">
        <v>268</v>
      </c>
      <c r="B133" s="1">
        <v>45696</v>
      </c>
      <c r="C133" t="s">
        <v>269</v>
      </c>
      <c r="D133" t="s">
        <v>14</v>
      </c>
      <c r="E133" t="s">
        <v>51</v>
      </c>
      <c r="F133" t="s">
        <v>27</v>
      </c>
      <c r="G133" t="s">
        <v>28</v>
      </c>
      <c r="H133">
        <v>4</v>
      </c>
      <c r="I133" s="12">
        <v>922.63</v>
      </c>
      <c r="J133" s="12">
        <v>0</v>
      </c>
      <c r="K133" s="9">
        <v>3690.54</v>
      </c>
      <c r="L133" s="9">
        <v>306.92</v>
      </c>
      <c r="M133" s="9">
        <f t="shared" si="2"/>
        <v>0</v>
      </c>
    </row>
    <row r="134" spans="1:13" x14ac:dyDescent="0.3">
      <c r="A134" t="s">
        <v>270</v>
      </c>
      <c r="B134" s="1">
        <v>45696</v>
      </c>
      <c r="C134" t="s">
        <v>271</v>
      </c>
      <c r="D134" t="s">
        <v>40</v>
      </c>
      <c r="E134" t="s">
        <v>54</v>
      </c>
      <c r="F134" t="s">
        <v>27</v>
      </c>
      <c r="G134" t="s">
        <v>28</v>
      </c>
      <c r="H134">
        <v>3</v>
      </c>
      <c r="I134" s="12">
        <v>28.23</v>
      </c>
      <c r="J134" s="12">
        <v>0</v>
      </c>
      <c r="K134" s="9">
        <v>84.7</v>
      </c>
      <c r="L134" s="9">
        <v>18.559999999999999</v>
      </c>
      <c r="M134" s="9">
        <f t="shared" si="2"/>
        <v>0</v>
      </c>
    </row>
    <row r="135" spans="1:13" x14ac:dyDescent="0.3">
      <c r="A135" t="s">
        <v>272</v>
      </c>
      <c r="B135" s="1">
        <v>45698</v>
      </c>
      <c r="C135" t="s">
        <v>80</v>
      </c>
      <c r="D135" t="s">
        <v>25</v>
      </c>
      <c r="E135" t="s">
        <v>41</v>
      </c>
      <c r="F135" t="s">
        <v>42</v>
      </c>
      <c r="G135" t="s">
        <v>28</v>
      </c>
      <c r="H135">
        <v>3</v>
      </c>
      <c r="I135" s="12">
        <v>58.6</v>
      </c>
      <c r="J135" s="12">
        <v>0.15</v>
      </c>
      <c r="K135" s="9">
        <v>149.41999999999999</v>
      </c>
      <c r="L135" s="9">
        <v>31.91</v>
      </c>
      <c r="M135" s="9">
        <f t="shared" si="2"/>
        <v>26.37</v>
      </c>
    </row>
    <row r="136" spans="1:13" x14ac:dyDescent="0.3">
      <c r="A136" t="s">
        <v>273</v>
      </c>
      <c r="B136" s="1">
        <v>45698</v>
      </c>
      <c r="C136" t="s">
        <v>53</v>
      </c>
      <c r="D136" t="s">
        <v>40</v>
      </c>
      <c r="E136" t="s">
        <v>20</v>
      </c>
      <c r="F136" t="s">
        <v>21</v>
      </c>
      <c r="G136" t="s">
        <v>17</v>
      </c>
      <c r="H136">
        <v>5</v>
      </c>
      <c r="I136" s="12">
        <v>175.02</v>
      </c>
      <c r="J136" s="12">
        <v>0.15</v>
      </c>
      <c r="K136" s="9">
        <v>743.85</v>
      </c>
      <c r="L136" s="9">
        <v>33.83</v>
      </c>
      <c r="M136" s="9">
        <f t="shared" si="2"/>
        <v>131.26499999999999</v>
      </c>
    </row>
    <row r="137" spans="1:13" x14ac:dyDescent="0.3">
      <c r="A137" t="s">
        <v>274</v>
      </c>
      <c r="B137" s="1">
        <v>45698</v>
      </c>
      <c r="C137" t="s">
        <v>275</v>
      </c>
      <c r="D137" t="s">
        <v>40</v>
      </c>
      <c r="E137" t="s">
        <v>41</v>
      </c>
      <c r="F137" t="s">
        <v>42</v>
      </c>
      <c r="G137" t="s">
        <v>28</v>
      </c>
      <c r="H137">
        <v>1</v>
      </c>
      <c r="I137" s="12">
        <v>52.92</v>
      </c>
      <c r="J137" s="12">
        <v>0</v>
      </c>
      <c r="K137" s="9">
        <v>52.92</v>
      </c>
      <c r="L137" s="9">
        <v>7.68</v>
      </c>
      <c r="M137" s="9">
        <f t="shared" si="2"/>
        <v>0</v>
      </c>
    </row>
    <row r="138" spans="1:13" x14ac:dyDescent="0.3">
      <c r="A138" t="s">
        <v>276</v>
      </c>
      <c r="B138" s="1">
        <v>45698</v>
      </c>
      <c r="C138" t="s">
        <v>277</v>
      </c>
      <c r="D138" t="s">
        <v>40</v>
      </c>
      <c r="E138" t="s">
        <v>31</v>
      </c>
      <c r="F138" t="s">
        <v>21</v>
      </c>
      <c r="G138" t="s">
        <v>17</v>
      </c>
      <c r="H138">
        <v>2</v>
      </c>
      <c r="I138" s="12">
        <v>42.83</v>
      </c>
      <c r="J138" s="12">
        <v>0.15</v>
      </c>
      <c r="K138" s="9">
        <v>72.81</v>
      </c>
      <c r="L138" s="9">
        <v>11.27</v>
      </c>
      <c r="M138" s="9">
        <f t="shared" si="2"/>
        <v>12.848999999999998</v>
      </c>
    </row>
    <row r="139" spans="1:13" x14ac:dyDescent="0.3">
      <c r="A139" t="s">
        <v>278</v>
      </c>
      <c r="B139" s="1">
        <v>45699</v>
      </c>
      <c r="C139" t="s">
        <v>279</v>
      </c>
      <c r="D139" t="s">
        <v>14</v>
      </c>
      <c r="E139" t="s">
        <v>41</v>
      </c>
      <c r="F139" t="s">
        <v>42</v>
      </c>
      <c r="G139" t="s">
        <v>17</v>
      </c>
      <c r="H139">
        <v>3</v>
      </c>
      <c r="I139" s="12">
        <v>59.28</v>
      </c>
      <c r="J139" s="12">
        <v>0.1</v>
      </c>
      <c r="K139" s="9">
        <v>160.05000000000001</v>
      </c>
      <c r="L139" s="9">
        <v>31.99</v>
      </c>
      <c r="M139" s="9">
        <f t="shared" si="2"/>
        <v>17.784000000000002</v>
      </c>
    </row>
    <row r="140" spans="1:13" x14ac:dyDescent="0.3">
      <c r="A140" t="s">
        <v>280</v>
      </c>
      <c r="B140" s="1">
        <v>45699</v>
      </c>
      <c r="C140" t="s">
        <v>281</v>
      </c>
      <c r="D140" t="s">
        <v>40</v>
      </c>
      <c r="E140" t="s">
        <v>65</v>
      </c>
      <c r="F140" t="s">
        <v>16</v>
      </c>
      <c r="G140" t="s">
        <v>22</v>
      </c>
      <c r="H140">
        <v>1</v>
      </c>
      <c r="I140" s="12">
        <v>17.260000000000002</v>
      </c>
      <c r="J140" s="12">
        <v>0.1</v>
      </c>
      <c r="K140" s="9">
        <v>15.53</v>
      </c>
      <c r="L140" s="9">
        <v>2.61</v>
      </c>
      <c r="M140" s="9">
        <f t="shared" si="2"/>
        <v>1.7260000000000002</v>
      </c>
    </row>
    <row r="141" spans="1:13" x14ac:dyDescent="0.3">
      <c r="A141" t="s">
        <v>282</v>
      </c>
      <c r="B141" s="1">
        <v>45699</v>
      </c>
      <c r="C141" t="s">
        <v>72</v>
      </c>
      <c r="D141" t="s">
        <v>14</v>
      </c>
      <c r="E141" t="s">
        <v>51</v>
      </c>
      <c r="F141" t="s">
        <v>27</v>
      </c>
      <c r="G141" t="s">
        <v>17</v>
      </c>
      <c r="H141">
        <v>1</v>
      </c>
      <c r="I141" s="12">
        <v>938.3</v>
      </c>
      <c r="J141" s="12">
        <v>0</v>
      </c>
      <c r="K141" s="9">
        <v>938.3</v>
      </c>
      <c r="L141" s="9">
        <v>80.75</v>
      </c>
      <c r="M141" s="9">
        <f t="shared" si="2"/>
        <v>0</v>
      </c>
    </row>
    <row r="142" spans="1:13" x14ac:dyDescent="0.3">
      <c r="A142" t="s">
        <v>283</v>
      </c>
      <c r="B142" s="1">
        <v>45699</v>
      </c>
      <c r="C142" t="s">
        <v>70</v>
      </c>
      <c r="D142" t="s">
        <v>40</v>
      </c>
      <c r="E142" t="s">
        <v>37</v>
      </c>
      <c r="F142" t="s">
        <v>27</v>
      </c>
      <c r="G142" t="s">
        <v>17</v>
      </c>
      <c r="H142">
        <v>1</v>
      </c>
      <c r="I142" s="12">
        <v>215.03</v>
      </c>
      <c r="J142" s="12">
        <v>0.1</v>
      </c>
      <c r="K142" s="9">
        <v>193.53</v>
      </c>
      <c r="L142" s="9">
        <v>14.09</v>
      </c>
      <c r="M142" s="9">
        <f t="shared" si="2"/>
        <v>21.503</v>
      </c>
    </row>
    <row r="143" spans="1:13" x14ac:dyDescent="0.3">
      <c r="A143" t="s">
        <v>284</v>
      </c>
      <c r="B143" s="1">
        <v>45699</v>
      </c>
      <c r="C143" t="s">
        <v>285</v>
      </c>
      <c r="D143" t="s">
        <v>14</v>
      </c>
      <c r="E143" t="s">
        <v>110</v>
      </c>
      <c r="F143" t="s">
        <v>42</v>
      </c>
      <c r="G143" t="s">
        <v>17</v>
      </c>
      <c r="H143">
        <v>1</v>
      </c>
      <c r="I143" s="12">
        <v>22.85</v>
      </c>
      <c r="J143" s="12">
        <v>0.05</v>
      </c>
      <c r="K143" s="9">
        <v>21.71</v>
      </c>
      <c r="L143" s="9">
        <v>4.5999999999999996</v>
      </c>
      <c r="M143" s="9">
        <f t="shared" si="2"/>
        <v>1.1425000000000001</v>
      </c>
    </row>
    <row r="144" spans="1:13" x14ac:dyDescent="0.3">
      <c r="A144" t="s">
        <v>286</v>
      </c>
      <c r="B144" s="1">
        <v>45700</v>
      </c>
      <c r="C144" t="s">
        <v>287</v>
      </c>
      <c r="D144" t="s">
        <v>40</v>
      </c>
      <c r="E144" t="s">
        <v>41</v>
      </c>
      <c r="F144" t="s">
        <v>42</v>
      </c>
      <c r="G144" t="s">
        <v>17</v>
      </c>
      <c r="H144">
        <v>4</v>
      </c>
      <c r="I144" s="12">
        <v>59.99</v>
      </c>
      <c r="J144" s="12">
        <v>0.1</v>
      </c>
      <c r="K144" s="9">
        <v>215.96</v>
      </c>
      <c r="L144" s="9">
        <v>50.22</v>
      </c>
      <c r="M144" s="9">
        <f t="shared" si="2"/>
        <v>23.996000000000002</v>
      </c>
    </row>
    <row r="145" spans="1:13" x14ac:dyDescent="0.3">
      <c r="A145" t="s">
        <v>288</v>
      </c>
      <c r="B145" s="1">
        <v>45701</v>
      </c>
      <c r="C145" t="s">
        <v>126</v>
      </c>
      <c r="D145" t="s">
        <v>14</v>
      </c>
      <c r="E145" t="s">
        <v>26</v>
      </c>
      <c r="F145" t="s">
        <v>27</v>
      </c>
      <c r="G145" t="s">
        <v>32</v>
      </c>
      <c r="H145">
        <v>1</v>
      </c>
      <c r="I145" s="12">
        <v>70.459999999999994</v>
      </c>
      <c r="J145" s="12">
        <v>0.2</v>
      </c>
      <c r="K145" s="9">
        <v>56.37</v>
      </c>
      <c r="L145" s="9">
        <v>7.74</v>
      </c>
      <c r="M145" s="9">
        <f t="shared" si="2"/>
        <v>14.091999999999999</v>
      </c>
    </row>
    <row r="146" spans="1:13" x14ac:dyDescent="0.3">
      <c r="A146" t="s">
        <v>289</v>
      </c>
      <c r="B146" s="1">
        <v>45701</v>
      </c>
      <c r="C146" t="s">
        <v>290</v>
      </c>
      <c r="D146" t="s">
        <v>14</v>
      </c>
      <c r="E146" t="s">
        <v>41</v>
      </c>
      <c r="F146" t="s">
        <v>42</v>
      </c>
      <c r="G146" t="s">
        <v>32</v>
      </c>
      <c r="H146">
        <v>3</v>
      </c>
      <c r="I146" s="12">
        <v>59.62</v>
      </c>
      <c r="J146" s="12">
        <v>0.05</v>
      </c>
      <c r="K146" s="9">
        <v>169.92</v>
      </c>
      <c r="L146" s="9">
        <v>34.299999999999997</v>
      </c>
      <c r="M146" s="9">
        <f t="shared" si="2"/>
        <v>8.9429999999999996</v>
      </c>
    </row>
    <row r="147" spans="1:13" x14ac:dyDescent="0.3">
      <c r="A147" t="s">
        <v>291</v>
      </c>
      <c r="B147" s="1">
        <v>45701</v>
      </c>
      <c r="C147" t="s">
        <v>292</v>
      </c>
      <c r="D147" t="s">
        <v>14</v>
      </c>
      <c r="E147" t="s">
        <v>65</v>
      </c>
      <c r="F147" t="s">
        <v>16</v>
      </c>
      <c r="G147" t="s">
        <v>28</v>
      </c>
      <c r="H147">
        <v>2</v>
      </c>
      <c r="I147" s="12">
        <v>17.95</v>
      </c>
      <c r="J147" s="12">
        <v>0.1</v>
      </c>
      <c r="K147" s="9">
        <v>32.299999999999997</v>
      </c>
      <c r="L147" s="9">
        <v>2.1800000000000002</v>
      </c>
      <c r="M147" s="9">
        <f t="shared" si="2"/>
        <v>3.59</v>
      </c>
    </row>
    <row r="148" spans="1:13" x14ac:dyDescent="0.3">
      <c r="A148" t="s">
        <v>293</v>
      </c>
      <c r="B148" s="1">
        <v>45702</v>
      </c>
      <c r="C148" t="s">
        <v>134</v>
      </c>
      <c r="D148" t="s">
        <v>14</v>
      </c>
      <c r="E148" t="s">
        <v>26</v>
      </c>
      <c r="F148" t="s">
        <v>27</v>
      </c>
      <c r="G148" t="s">
        <v>22</v>
      </c>
      <c r="H148">
        <v>2</v>
      </c>
      <c r="I148" s="12">
        <v>80.790000000000006</v>
      </c>
      <c r="J148" s="12">
        <v>0</v>
      </c>
      <c r="K148" s="9">
        <v>161.58000000000001</v>
      </c>
      <c r="L148" s="9">
        <v>41.87</v>
      </c>
      <c r="M148" s="9">
        <f t="shared" si="2"/>
        <v>0</v>
      </c>
    </row>
    <row r="149" spans="1:13" x14ac:dyDescent="0.3">
      <c r="A149" t="s">
        <v>294</v>
      </c>
      <c r="B149" s="1">
        <v>45702</v>
      </c>
      <c r="C149" t="s">
        <v>295</v>
      </c>
      <c r="D149" t="s">
        <v>40</v>
      </c>
      <c r="E149" t="s">
        <v>51</v>
      </c>
      <c r="F149" t="s">
        <v>27</v>
      </c>
      <c r="G149" t="s">
        <v>17</v>
      </c>
      <c r="H149">
        <v>4</v>
      </c>
      <c r="I149" s="12">
        <v>904.05</v>
      </c>
      <c r="J149" s="12">
        <v>0.1</v>
      </c>
      <c r="K149" s="9">
        <v>3254.59</v>
      </c>
      <c r="L149" s="9">
        <v>636.17999999999995</v>
      </c>
      <c r="M149" s="9">
        <f t="shared" si="2"/>
        <v>361.62</v>
      </c>
    </row>
    <row r="150" spans="1:13" x14ac:dyDescent="0.3">
      <c r="A150" t="s">
        <v>296</v>
      </c>
      <c r="B150" s="1">
        <v>45702</v>
      </c>
      <c r="C150" t="s">
        <v>297</v>
      </c>
      <c r="D150" t="s">
        <v>25</v>
      </c>
      <c r="E150" t="s">
        <v>65</v>
      </c>
      <c r="F150" t="s">
        <v>16</v>
      </c>
      <c r="G150" t="s">
        <v>17</v>
      </c>
      <c r="H150">
        <v>4</v>
      </c>
      <c r="I150" s="12">
        <v>16.440000000000001</v>
      </c>
      <c r="J150" s="12">
        <v>0.05</v>
      </c>
      <c r="K150" s="9">
        <v>62.47</v>
      </c>
      <c r="L150" s="9">
        <v>4.3</v>
      </c>
      <c r="M150" s="9">
        <f t="shared" si="2"/>
        <v>3.2880000000000003</v>
      </c>
    </row>
    <row r="151" spans="1:13" x14ac:dyDescent="0.3">
      <c r="A151" t="s">
        <v>298</v>
      </c>
      <c r="B151" s="1">
        <v>45704</v>
      </c>
      <c r="C151" t="s">
        <v>299</v>
      </c>
      <c r="D151" t="s">
        <v>40</v>
      </c>
      <c r="E151" t="s">
        <v>15</v>
      </c>
      <c r="F151" t="s">
        <v>16</v>
      </c>
      <c r="G151" t="s">
        <v>28</v>
      </c>
      <c r="H151">
        <v>4</v>
      </c>
      <c r="I151" s="12">
        <v>14</v>
      </c>
      <c r="J151" s="12">
        <v>0.1</v>
      </c>
      <c r="K151" s="9">
        <v>50.41</v>
      </c>
      <c r="L151" s="9">
        <v>8.9499999999999993</v>
      </c>
      <c r="M151" s="9">
        <f t="shared" si="2"/>
        <v>5.6000000000000005</v>
      </c>
    </row>
    <row r="152" spans="1:13" x14ac:dyDescent="0.3">
      <c r="A152" t="s">
        <v>300</v>
      </c>
      <c r="B152" s="1">
        <v>45705</v>
      </c>
      <c r="C152" t="s">
        <v>209</v>
      </c>
      <c r="D152" t="s">
        <v>25</v>
      </c>
      <c r="E152" t="s">
        <v>51</v>
      </c>
      <c r="F152" t="s">
        <v>27</v>
      </c>
      <c r="G152" t="s">
        <v>17</v>
      </c>
      <c r="H152">
        <v>2</v>
      </c>
      <c r="I152" s="12">
        <v>870.26</v>
      </c>
      <c r="J152" s="12">
        <v>0.05</v>
      </c>
      <c r="K152" s="9">
        <v>1653.5</v>
      </c>
      <c r="L152" s="9">
        <v>375.94</v>
      </c>
      <c r="M152" s="9">
        <f t="shared" si="2"/>
        <v>87.02600000000001</v>
      </c>
    </row>
    <row r="153" spans="1:13" x14ac:dyDescent="0.3">
      <c r="A153" t="s">
        <v>301</v>
      </c>
      <c r="B153" s="1">
        <v>45705</v>
      </c>
      <c r="C153" t="s">
        <v>302</v>
      </c>
      <c r="D153" t="s">
        <v>14</v>
      </c>
      <c r="E153" t="s">
        <v>92</v>
      </c>
      <c r="F153" t="s">
        <v>16</v>
      </c>
      <c r="G153" t="s">
        <v>22</v>
      </c>
      <c r="H153">
        <v>2</v>
      </c>
      <c r="I153" s="12">
        <v>8.73</v>
      </c>
      <c r="J153" s="12">
        <v>0.05</v>
      </c>
      <c r="K153" s="9">
        <v>16.59</v>
      </c>
      <c r="L153" s="9">
        <v>3.36</v>
      </c>
      <c r="M153" s="9">
        <f t="shared" si="2"/>
        <v>0.87300000000000011</v>
      </c>
    </row>
    <row r="154" spans="1:13" x14ac:dyDescent="0.3">
      <c r="A154" t="s">
        <v>303</v>
      </c>
      <c r="B154" s="1">
        <v>45705</v>
      </c>
      <c r="C154" t="s">
        <v>304</v>
      </c>
      <c r="D154" t="s">
        <v>14</v>
      </c>
      <c r="E154" t="s">
        <v>26</v>
      </c>
      <c r="F154" t="s">
        <v>27</v>
      </c>
      <c r="G154" t="s">
        <v>28</v>
      </c>
      <c r="H154">
        <v>3</v>
      </c>
      <c r="I154" s="12">
        <v>70.7</v>
      </c>
      <c r="J154" s="12">
        <v>0</v>
      </c>
      <c r="K154" s="9">
        <v>212.09</v>
      </c>
      <c r="L154" s="9">
        <v>43.1</v>
      </c>
      <c r="M154" s="9">
        <f t="shared" si="2"/>
        <v>0</v>
      </c>
    </row>
    <row r="155" spans="1:13" x14ac:dyDescent="0.3">
      <c r="A155" t="s">
        <v>305</v>
      </c>
      <c r="B155" s="1">
        <v>45705</v>
      </c>
      <c r="C155" t="s">
        <v>306</v>
      </c>
      <c r="D155" t="s">
        <v>25</v>
      </c>
      <c r="E155" t="s">
        <v>20</v>
      </c>
      <c r="F155" t="s">
        <v>21</v>
      </c>
      <c r="G155" t="s">
        <v>22</v>
      </c>
      <c r="H155">
        <v>1</v>
      </c>
      <c r="I155" s="12">
        <v>171.31</v>
      </c>
      <c r="J155" s="12">
        <v>0</v>
      </c>
      <c r="K155" s="9">
        <v>171.31</v>
      </c>
      <c r="L155" s="9">
        <v>44.56</v>
      </c>
      <c r="M155" s="9">
        <f t="shared" si="2"/>
        <v>0</v>
      </c>
    </row>
    <row r="156" spans="1:13" x14ac:dyDescent="0.3">
      <c r="A156" t="s">
        <v>307</v>
      </c>
      <c r="B156" s="1">
        <v>45705</v>
      </c>
      <c r="C156" t="s">
        <v>136</v>
      </c>
      <c r="D156" t="s">
        <v>40</v>
      </c>
      <c r="E156" t="s">
        <v>65</v>
      </c>
      <c r="F156" t="s">
        <v>16</v>
      </c>
      <c r="G156" t="s">
        <v>28</v>
      </c>
      <c r="H156">
        <v>2</v>
      </c>
      <c r="I156" s="12">
        <v>18.46</v>
      </c>
      <c r="J156" s="12">
        <v>0.05</v>
      </c>
      <c r="K156" s="9">
        <v>35.07</v>
      </c>
      <c r="L156" s="9">
        <v>7.87</v>
      </c>
      <c r="M156" s="9">
        <f t="shared" si="2"/>
        <v>1.8460000000000001</v>
      </c>
    </row>
    <row r="157" spans="1:13" x14ac:dyDescent="0.3">
      <c r="A157" t="s">
        <v>308</v>
      </c>
      <c r="B157" s="1">
        <v>45706</v>
      </c>
      <c r="C157" t="s">
        <v>80</v>
      </c>
      <c r="D157" t="s">
        <v>14</v>
      </c>
      <c r="E157" t="s">
        <v>31</v>
      </c>
      <c r="F157" t="s">
        <v>21</v>
      </c>
      <c r="G157" t="s">
        <v>22</v>
      </c>
      <c r="H157">
        <v>1</v>
      </c>
      <c r="I157" s="12">
        <v>44.24</v>
      </c>
      <c r="J157" s="12">
        <v>0.15</v>
      </c>
      <c r="K157" s="9">
        <v>37.6</v>
      </c>
      <c r="L157" s="9">
        <v>4.4800000000000004</v>
      </c>
      <c r="M157" s="9">
        <f t="shared" si="2"/>
        <v>6.6360000000000001</v>
      </c>
    </row>
    <row r="158" spans="1:13" x14ac:dyDescent="0.3">
      <c r="A158" t="s">
        <v>309</v>
      </c>
      <c r="B158" s="1">
        <v>45707</v>
      </c>
      <c r="C158" t="s">
        <v>310</v>
      </c>
      <c r="D158" t="s">
        <v>14</v>
      </c>
      <c r="E158" t="s">
        <v>20</v>
      </c>
      <c r="F158" t="s">
        <v>21</v>
      </c>
      <c r="G158" t="s">
        <v>17</v>
      </c>
      <c r="H158">
        <v>3</v>
      </c>
      <c r="I158" s="12">
        <v>166.14</v>
      </c>
      <c r="J158" s="12">
        <v>0.05</v>
      </c>
      <c r="K158" s="9">
        <v>473.49</v>
      </c>
      <c r="L158" s="9">
        <v>39.99</v>
      </c>
      <c r="M158" s="9">
        <f t="shared" si="2"/>
        <v>24.920999999999999</v>
      </c>
    </row>
    <row r="159" spans="1:13" x14ac:dyDescent="0.3">
      <c r="A159" t="s">
        <v>311</v>
      </c>
      <c r="B159" s="1">
        <v>45707</v>
      </c>
      <c r="C159" t="s">
        <v>170</v>
      </c>
      <c r="D159" t="s">
        <v>40</v>
      </c>
      <c r="E159" t="s">
        <v>56</v>
      </c>
      <c r="F159" t="s">
        <v>21</v>
      </c>
      <c r="G159" t="s">
        <v>32</v>
      </c>
      <c r="H159">
        <v>3</v>
      </c>
      <c r="I159" s="12">
        <v>302.39</v>
      </c>
      <c r="J159" s="12">
        <v>0.1</v>
      </c>
      <c r="K159" s="9">
        <v>816.46</v>
      </c>
      <c r="L159" s="9">
        <v>85.56</v>
      </c>
      <c r="M159" s="9">
        <f t="shared" si="2"/>
        <v>90.716999999999999</v>
      </c>
    </row>
    <row r="160" spans="1:13" x14ac:dyDescent="0.3">
      <c r="A160" t="s">
        <v>312</v>
      </c>
      <c r="B160" s="1">
        <v>45707</v>
      </c>
      <c r="C160" t="s">
        <v>313</v>
      </c>
      <c r="D160" t="s">
        <v>14</v>
      </c>
      <c r="E160" t="s">
        <v>26</v>
      </c>
      <c r="F160" t="s">
        <v>27</v>
      </c>
      <c r="G160" t="s">
        <v>32</v>
      </c>
      <c r="H160">
        <v>2</v>
      </c>
      <c r="I160" s="12">
        <v>78.650000000000006</v>
      </c>
      <c r="J160" s="12">
        <v>0.1</v>
      </c>
      <c r="K160" s="9">
        <v>141.57</v>
      </c>
      <c r="L160" s="9">
        <v>26.3</v>
      </c>
      <c r="M160" s="9">
        <f t="shared" si="2"/>
        <v>15.730000000000002</v>
      </c>
    </row>
    <row r="161" spans="1:13" x14ac:dyDescent="0.3">
      <c r="A161" t="s">
        <v>314</v>
      </c>
      <c r="B161" s="1">
        <v>45708</v>
      </c>
      <c r="C161" t="s">
        <v>315</v>
      </c>
      <c r="D161" t="s">
        <v>14</v>
      </c>
      <c r="E161" t="s">
        <v>110</v>
      </c>
      <c r="F161" t="s">
        <v>42</v>
      </c>
      <c r="G161" t="s">
        <v>28</v>
      </c>
      <c r="H161">
        <v>3</v>
      </c>
      <c r="I161" s="12">
        <v>23.02</v>
      </c>
      <c r="J161" s="12">
        <v>0</v>
      </c>
      <c r="K161" s="9">
        <v>69.05</v>
      </c>
      <c r="L161" s="9">
        <v>11.32</v>
      </c>
      <c r="M161" s="9">
        <f t="shared" si="2"/>
        <v>0</v>
      </c>
    </row>
    <row r="162" spans="1:13" x14ac:dyDescent="0.3">
      <c r="A162" t="s">
        <v>316</v>
      </c>
      <c r="B162" s="1">
        <v>45708</v>
      </c>
      <c r="C162" t="s">
        <v>139</v>
      </c>
      <c r="D162" t="s">
        <v>40</v>
      </c>
      <c r="E162" t="s">
        <v>51</v>
      </c>
      <c r="F162" t="s">
        <v>27</v>
      </c>
      <c r="G162" t="s">
        <v>22</v>
      </c>
      <c r="H162">
        <v>3</v>
      </c>
      <c r="I162" s="12">
        <v>969.61</v>
      </c>
      <c r="J162" s="12">
        <v>0.2</v>
      </c>
      <c r="K162" s="9">
        <v>2327.06</v>
      </c>
      <c r="L162" s="9">
        <v>424.67</v>
      </c>
      <c r="M162" s="9">
        <f t="shared" si="2"/>
        <v>581.76599999999996</v>
      </c>
    </row>
    <row r="163" spans="1:13" x14ac:dyDescent="0.3">
      <c r="A163" t="s">
        <v>317</v>
      </c>
      <c r="B163" s="1">
        <v>45708</v>
      </c>
      <c r="C163" t="s">
        <v>318</v>
      </c>
      <c r="D163" t="s">
        <v>40</v>
      </c>
      <c r="E163" t="s">
        <v>26</v>
      </c>
      <c r="F163" t="s">
        <v>27</v>
      </c>
      <c r="G163" t="s">
        <v>32</v>
      </c>
      <c r="H163">
        <v>1</v>
      </c>
      <c r="I163" s="12">
        <v>80.67</v>
      </c>
      <c r="J163" s="12">
        <v>0</v>
      </c>
      <c r="K163" s="9">
        <v>80.67</v>
      </c>
      <c r="L163" s="9">
        <v>7.9</v>
      </c>
      <c r="M163" s="9">
        <f t="shared" si="2"/>
        <v>0</v>
      </c>
    </row>
    <row r="164" spans="1:13" x14ac:dyDescent="0.3">
      <c r="A164" t="s">
        <v>319</v>
      </c>
      <c r="B164" s="1">
        <v>45708</v>
      </c>
      <c r="C164" t="s">
        <v>320</v>
      </c>
      <c r="D164" t="s">
        <v>40</v>
      </c>
      <c r="E164" t="s">
        <v>26</v>
      </c>
      <c r="F164" t="s">
        <v>27</v>
      </c>
      <c r="G164" t="s">
        <v>28</v>
      </c>
      <c r="H164">
        <v>1</v>
      </c>
      <c r="I164" s="12">
        <v>73.23</v>
      </c>
      <c r="J164" s="12">
        <v>0.05</v>
      </c>
      <c r="K164" s="9">
        <v>69.569999999999993</v>
      </c>
      <c r="L164" s="9">
        <v>12.84</v>
      </c>
      <c r="M164" s="9">
        <f t="shared" si="2"/>
        <v>3.6615000000000002</v>
      </c>
    </row>
    <row r="165" spans="1:13" x14ac:dyDescent="0.3">
      <c r="A165" t="s">
        <v>321</v>
      </c>
      <c r="B165" s="1">
        <v>45708</v>
      </c>
      <c r="C165" t="s">
        <v>254</v>
      </c>
      <c r="D165" t="s">
        <v>40</v>
      </c>
      <c r="E165" t="s">
        <v>37</v>
      </c>
      <c r="F165" t="s">
        <v>27</v>
      </c>
      <c r="G165" t="s">
        <v>32</v>
      </c>
      <c r="H165">
        <v>2</v>
      </c>
      <c r="I165" s="12">
        <v>193.77</v>
      </c>
      <c r="J165" s="12">
        <v>0.05</v>
      </c>
      <c r="K165" s="9">
        <v>368.16</v>
      </c>
      <c r="L165" s="9">
        <v>74.7</v>
      </c>
      <c r="M165" s="9">
        <f t="shared" si="2"/>
        <v>19.377000000000002</v>
      </c>
    </row>
    <row r="166" spans="1:13" x14ac:dyDescent="0.3">
      <c r="A166" t="s">
        <v>322</v>
      </c>
      <c r="B166" s="1">
        <v>45709</v>
      </c>
      <c r="C166" t="s">
        <v>126</v>
      </c>
      <c r="D166" t="s">
        <v>14</v>
      </c>
      <c r="E166" t="s">
        <v>15</v>
      </c>
      <c r="F166" t="s">
        <v>16</v>
      </c>
      <c r="G166" t="s">
        <v>28</v>
      </c>
      <c r="H166">
        <v>1</v>
      </c>
      <c r="I166" s="12">
        <v>15.12</v>
      </c>
      <c r="J166" s="12">
        <v>0</v>
      </c>
      <c r="K166" s="9">
        <v>15.12</v>
      </c>
      <c r="L166" s="9">
        <v>3.73</v>
      </c>
      <c r="M166" s="9">
        <f t="shared" si="2"/>
        <v>0</v>
      </c>
    </row>
    <row r="167" spans="1:13" x14ac:dyDescent="0.3">
      <c r="A167" t="s">
        <v>323</v>
      </c>
      <c r="B167" s="1">
        <v>45709</v>
      </c>
      <c r="C167" t="s">
        <v>324</v>
      </c>
      <c r="D167" t="s">
        <v>14</v>
      </c>
      <c r="E167" t="s">
        <v>41</v>
      </c>
      <c r="F167" t="s">
        <v>42</v>
      </c>
      <c r="G167" t="s">
        <v>17</v>
      </c>
      <c r="H167">
        <v>1</v>
      </c>
      <c r="I167" s="12">
        <v>58.72</v>
      </c>
      <c r="J167" s="12">
        <v>0</v>
      </c>
      <c r="K167" s="9">
        <v>58.72</v>
      </c>
      <c r="L167" s="9">
        <v>12.38</v>
      </c>
      <c r="M167" s="9">
        <f t="shared" si="2"/>
        <v>0</v>
      </c>
    </row>
    <row r="168" spans="1:13" x14ac:dyDescent="0.3">
      <c r="A168" t="s">
        <v>325</v>
      </c>
      <c r="B168" s="1">
        <v>45709</v>
      </c>
      <c r="C168" t="s">
        <v>326</v>
      </c>
      <c r="D168" t="s">
        <v>25</v>
      </c>
      <c r="E168" t="s">
        <v>65</v>
      </c>
      <c r="F168" t="s">
        <v>16</v>
      </c>
      <c r="G168" t="s">
        <v>32</v>
      </c>
      <c r="H168">
        <v>2</v>
      </c>
      <c r="I168" s="12">
        <v>17.82</v>
      </c>
      <c r="J168" s="12">
        <v>0.05</v>
      </c>
      <c r="K168" s="9">
        <v>33.85</v>
      </c>
      <c r="L168" s="9">
        <v>8.82</v>
      </c>
      <c r="M168" s="9">
        <f t="shared" si="2"/>
        <v>1.782</v>
      </c>
    </row>
    <row r="169" spans="1:13" x14ac:dyDescent="0.3">
      <c r="A169" t="s">
        <v>327</v>
      </c>
      <c r="B169" s="1">
        <v>45710</v>
      </c>
      <c r="C169" t="s">
        <v>328</v>
      </c>
      <c r="D169" t="s">
        <v>40</v>
      </c>
      <c r="E169" t="s">
        <v>26</v>
      </c>
      <c r="F169" t="s">
        <v>27</v>
      </c>
      <c r="G169" t="s">
        <v>28</v>
      </c>
      <c r="H169">
        <v>1</v>
      </c>
      <c r="I169" s="12">
        <v>78.58</v>
      </c>
      <c r="J169" s="12">
        <v>0</v>
      </c>
      <c r="K169" s="9">
        <v>78.58</v>
      </c>
      <c r="L169" s="9">
        <v>18.95</v>
      </c>
      <c r="M169" s="9">
        <f t="shared" si="2"/>
        <v>0</v>
      </c>
    </row>
    <row r="170" spans="1:13" x14ac:dyDescent="0.3">
      <c r="A170" t="s">
        <v>329</v>
      </c>
      <c r="B170" s="1">
        <v>45710</v>
      </c>
      <c r="C170" t="s">
        <v>269</v>
      </c>
      <c r="D170" t="s">
        <v>40</v>
      </c>
      <c r="E170" t="s">
        <v>15</v>
      </c>
      <c r="F170" t="s">
        <v>16</v>
      </c>
      <c r="G170" t="s">
        <v>17</v>
      </c>
      <c r="H170">
        <v>1</v>
      </c>
      <c r="I170" s="12">
        <v>14.62</v>
      </c>
      <c r="J170" s="12">
        <v>0.15</v>
      </c>
      <c r="K170" s="9">
        <v>12.43</v>
      </c>
      <c r="L170" s="9">
        <v>1.67</v>
      </c>
      <c r="M170" s="9">
        <f t="shared" si="2"/>
        <v>2.1929999999999996</v>
      </c>
    </row>
    <row r="171" spans="1:13" x14ac:dyDescent="0.3">
      <c r="A171" t="s">
        <v>330</v>
      </c>
      <c r="B171" s="1">
        <v>45710</v>
      </c>
      <c r="C171" t="s">
        <v>212</v>
      </c>
      <c r="D171" t="s">
        <v>14</v>
      </c>
      <c r="E171" t="s">
        <v>20</v>
      </c>
      <c r="F171" t="s">
        <v>21</v>
      </c>
      <c r="G171" t="s">
        <v>17</v>
      </c>
      <c r="H171">
        <v>2</v>
      </c>
      <c r="I171" s="12">
        <v>196.78</v>
      </c>
      <c r="J171" s="12">
        <v>0.05</v>
      </c>
      <c r="K171" s="9">
        <v>373.87</v>
      </c>
      <c r="L171" s="9">
        <v>97.91</v>
      </c>
      <c r="M171" s="9">
        <f t="shared" si="2"/>
        <v>19.678000000000001</v>
      </c>
    </row>
    <row r="172" spans="1:13" x14ac:dyDescent="0.3">
      <c r="A172" t="s">
        <v>331</v>
      </c>
      <c r="B172" s="1">
        <v>45710</v>
      </c>
      <c r="C172" t="s">
        <v>332</v>
      </c>
      <c r="D172" t="s">
        <v>25</v>
      </c>
      <c r="E172" t="s">
        <v>65</v>
      </c>
      <c r="F172" t="s">
        <v>16</v>
      </c>
      <c r="G172" t="s">
        <v>22</v>
      </c>
      <c r="H172">
        <v>1</v>
      </c>
      <c r="I172" s="12">
        <v>19.350000000000001</v>
      </c>
      <c r="J172" s="12">
        <v>0</v>
      </c>
      <c r="K172" s="9">
        <v>19.350000000000001</v>
      </c>
      <c r="L172" s="9">
        <v>1.84</v>
      </c>
      <c r="M172" s="9">
        <f t="shared" si="2"/>
        <v>0</v>
      </c>
    </row>
    <row r="173" spans="1:13" x14ac:dyDescent="0.3">
      <c r="A173" t="s">
        <v>333</v>
      </c>
      <c r="B173" s="1">
        <v>45711</v>
      </c>
      <c r="C173" t="s">
        <v>334</v>
      </c>
      <c r="D173" t="s">
        <v>40</v>
      </c>
      <c r="E173" t="s">
        <v>51</v>
      </c>
      <c r="F173" t="s">
        <v>27</v>
      </c>
      <c r="G173" t="s">
        <v>17</v>
      </c>
      <c r="H173">
        <v>3</v>
      </c>
      <c r="I173" s="12">
        <v>883.25</v>
      </c>
      <c r="J173" s="12">
        <v>0</v>
      </c>
      <c r="K173" s="9">
        <v>2649.74</v>
      </c>
      <c r="L173" s="9">
        <v>453.8</v>
      </c>
      <c r="M173" s="9">
        <f t="shared" si="2"/>
        <v>0</v>
      </c>
    </row>
    <row r="174" spans="1:13" x14ac:dyDescent="0.3">
      <c r="A174" t="s">
        <v>335</v>
      </c>
      <c r="B174" s="1">
        <v>45712</v>
      </c>
      <c r="C174" t="s">
        <v>326</v>
      </c>
      <c r="D174" t="s">
        <v>40</v>
      </c>
      <c r="E174" t="s">
        <v>54</v>
      </c>
      <c r="F174" t="s">
        <v>27</v>
      </c>
      <c r="G174" t="s">
        <v>32</v>
      </c>
      <c r="H174">
        <v>1</v>
      </c>
      <c r="I174" s="12">
        <v>26.08</v>
      </c>
      <c r="J174" s="12">
        <v>0.1</v>
      </c>
      <c r="K174" s="9">
        <v>23.47</v>
      </c>
      <c r="L174" s="9">
        <v>2.65</v>
      </c>
      <c r="M174" s="9">
        <f t="shared" si="2"/>
        <v>2.6080000000000001</v>
      </c>
    </row>
    <row r="175" spans="1:13" x14ac:dyDescent="0.3">
      <c r="A175" t="s">
        <v>336</v>
      </c>
      <c r="B175" s="1">
        <v>45712</v>
      </c>
      <c r="C175" t="s">
        <v>112</v>
      </c>
      <c r="D175" t="s">
        <v>40</v>
      </c>
      <c r="E175" t="s">
        <v>37</v>
      </c>
      <c r="F175" t="s">
        <v>27</v>
      </c>
      <c r="G175" t="s">
        <v>32</v>
      </c>
      <c r="H175">
        <v>3</v>
      </c>
      <c r="I175" s="12">
        <v>199.6</v>
      </c>
      <c r="J175" s="12">
        <v>0.1</v>
      </c>
      <c r="K175" s="9">
        <v>538.91</v>
      </c>
      <c r="L175" s="9">
        <v>91.83</v>
      </c>
      <c r="M175" s="9">
        <f t="shared" si="2"/>
        <v>59.879999999999995</v>
      </c>
    </row>
    <row r="176" spans="1:13" x14ac:dyDescent="0.3">
      <c r="A176" t="s">
        <v>337</v>
      </c>
      <c r="B176" s="1">
        <v>45712</v>
      </c>
      <c r="C176" t="s">
        <v>292</v>
      </c>
      <c r="D176" t="s">
        <v>14</v>
      </c>
      <c r="E176" t="s">
        <v>41</v>
      </c>
      <c r="F176" t="s">
        <v>42</v>
      </c>
      <c r="G176" t="s">
        <v>17</v>
      </c>
      <c r="H176">
        <v>2</v>
      </c>
      <c r="I176" s="12">
        <v>60.07</v>
      </c>
      <c r="J176" s="12">
        <v>0.15</v>
      </c>
      <c r="K176" s="9">
        <v>102.12</v>
      </c>
      <c r="L176" s="9">
        <v>22.46</v>
      </c>
      <c r="M176" s="9">
        <f t="shared" si="2"/>
        <v>18.021000000000001</v>
      </c>
    </row>
    <row r="177" spans="1:13" x14ac:dyDescent="0.3">
      <c r="A177" t="s">
        <v>338</v>
      </c>
      <c r="B177" s="1">
        <v>45713</v>
      </c>
      <c r="C177" t="s">
        <v>339</v>
      </c>
      <c r="D177" t="s">
        <v>14</v>
      </c>
      <c r="E177" t="s">
        <v>41</v>
      </c>
      <c r="F177" t="s">
        <v>42</v>
      </c>
      <c r="G177" t="s">
        <v>22</v>
      </c>
      <c r="H177">
        <v>1</v>
      </c>
      <c r="I177" s="12">
        <v>59.73</v>
      </c>
      <c r="J177" s="12">
        <v>0.05</v>
      </c>
      <c r="K177" s="9">
        <v>56.75</v>
      </c>
      <c r="L177" s="9">
        <v>13.41</v>
      </c>
      <c r="M177" s="9">
        <f t="shared" si="2"/>
        <v>2.9864999999999999</v>
      </c>
    </row>
    <row r="178" spans="1:13" x14ac:dyDescent="0.3">
      <c r="A178" t="s">
        <v>340</v>
      </c>
      <c r="B178" s="1">
        <v>45713</v>
      </c>
      <c r="C178" t="s">
        <v>341</v>
      </c>
      <c r="D178" t="s">
        <v>14</v>
      </c>
      <c r="E178" t="s">
        <v>31</v>
      </c>
      <c r="F178" t="s">
        <v>21</v>
      </c>
      <c r="G178" t="s">
        <v>32</v>
      </c>
      <c r="H178">
        <v>4</v>
      </c>
      <c r="I178" s="12">
        <v>44.7</v>
      </c>
      <c r="J178" s="12">
        <v>0</v>
      </c>
      <c r="K178" s="9">
        <v>178.79</v>
      </c>
      <c r="L178" s="9">
        <v>33.78</v>
      </c>
      <c r="M178" s="9">
        <f t="shared" si="2"/>
        <v>0</v>
      </c>
    </row>
    <row r="179" spans="1:13" x14ac:dyDescent="0.3">
      <c r="A179" t="s">
        <v>342</v>
      </c>
      <c r="B179" s="1">
        <v>45713</v>
      </c>
      <c r="C179" t="s">
        <v>343</v>
      </c>
      <c r="D179" t="s">
        <v>14</v>
      </c>
      <c r="E179" t="s">
        <v>65</v>
      </c>
      <c r="F179" t="s">
        <v>16</v>
      </c>
      <c r="G179" t="s">
        <v>22</v>
      </c>
      <c r="H179">
        <v>1</v>
      </c>
      <c r="I179" s="12">
        <v>18.61</v>
      </c>
      <c r="J179" s="12">
        <v>0</v>
      </c>
      <c r="K179" s="9">
        <v>18.61</v>
      </c>
      <c r="L179" s="9">
        <v>1.49</v>
      </c>
      <c r="M179" s="9">
        <f t="shared" si="2"/>
        <v>0</v>
      </c>
    </row>
    <row r="180" spans="1:13" x14ac:dyDescent="0.3">
      <c r="A180" t="s">
        <v>344</v>
      </c>
      <c r="B180" s="1">
        <v>45713</v>
      </c>
      <c r="C180" t="s">
        <v>203</v>
      </c>
      <c r="D180" t="s">
        <v>40</v>
      </c>
      <c r="E180" t="s">
        <v>54</v>
      </c>
      <c r="F180" t="s">
        <v>27</v>
      </c>
      <c r="G180" t="s">
        <v>32</v>
      </c>
      <c r="H180">
        <v>2</v>
      </c>
      <c r="I180" s="12">
        <v>30.3</v>
      </c>
      <c r="J180" s="12">
        <v>0</v>
      </c>
      <c r="K180" s="9">
        <v>60.59</v>
      </c>
      <c r="L180" s="9">
        <v>8.5299999999999994</v>
      </c>
      <c r="M180" s="9">
        <f t="shared" si="2"/>
        <v>0</v>
      </c>
    </row>
    <row r="181" spans="1:13" x14ac:dyDescent="0.3">
      <c r="A181" t="s">
        <v>345</v>
      </c>
      <c r="B181" s="1">
        <v>45714</v>
      </c>
      <c r="C181" t="s">
        <v>346</v>
      </c>
      <c r="D181" t="s">
        <v>14</v>
      </c>
      <c r="E181" t="s">
        <v>54</v>
      </c>
      <c r="F181" t="s">
        <v>27</v>
      </c>
      <c r="G181" t="s">
        <v>28</v>
      </c>
      <c r="H181">
        <v>2</v>
      </c>
      <c r="I181" s="12">
        <v>26.11</v>
      </c>
      <c r="J181" s="12">
        <v>0.1</v>
      </c>
      <c r="K181" s="9">
        <v>46.99</v>
      </c>
      <c r="L181" s="9">
        <v>7.11</v>
      </c>
      <c r="M181" s="9">
        <f t="shared" si="2"/>
        <v>5.2220000000000004</v>
      </c>
    </row>
    <row r="182" spans="1:13" x14ac:dyDescent="0.3">
      <c r="A182" t="s">
        <v>347</v>
      </c>
      <c r="B182" s="1">
        <v>45714</v>
      </c>
      <c r="C182" t="s">
        <v>348</v>
      </c>
      <c r="D182" t="s">
        <v>25</v>
      </c>
      <c r="E182" t="s">
        <v>54</v>
      </c>
      <c r="F182" t="s">
        <v>27</v>
      </c>
      <c r="G182" t="s">
        <v>32</v>
      </c>
      <c r="H182">
        <v>2</v>
      </c>
      <c r="I182" s="12">
        <v>26.83</v>
      </c>
      <c r="J182" s="12">
        <v>0.1</v>
      </c>
      <c r="K182" s="9">
        <v>48.29</v>
      </c>
      <c r="L182" s="9">
        <v>10.66</v>
      </c>
      <c r="M182" s="9">
        <f t="shared" si="2"/>
        <v>5.3659999999999997</v>
      </c>
    </row>
    <row r="183" spans="1:13" x14ac:dyDescent="0.3">
      <c r="A183" t="s">
        <v>349</v>
      </c>
      <c r="B183" s="1">
        <v>45714</v>
      </c>
      <c r="C183" t="s">
        <v>295</v>
      </c>
      <c r="D183" t="s">
        <v>14</v>
      </c>
      <c r="E183" t="s">
        <v>37</v>
      </c>
      <c r="F183" t="s">
        <v>27</v>
      </c>
      <c r="G183" t="s">
        <v>22</v>
      </c>
      <c r="H183">
        <v>1</v>
      </c>
      <c r="I183" s="12">
        <v>225.87</v>
      </c>
      <c r="J183" s="12">
        <v>0</v>
      </c>
      <c r="K183" s="9">
        <v>225.87</v>
      </c>
      <c r="L183" s="9">
        <v>52.62</v>
      </c>
      <c r="M183" s="9">
        <f t="shared" si="2"/>
        <v>0</v>
      </c>
    </row>
    <row r="184" spans="1:13" x14ac:dyDescent="0.3">
      <c r="A184" t="s">
        <v>350</v>
      </c>
      <c r="B184" s="1">
        <v>45715</v>
      </c>
      <c r="C184" t="s">
        <v>187</v>
      </c>
      <c r="D184" t="s">
        <v>14</v>
      </c>
      <c r="E184" t="s">
        <v>37</v>
      </c>
      <c r="F184" t="s">
        <v>27</v>
      </c>
      <c r="G184" t="s">
        <v>22</v>
      </c>
      <c r="H184">
        <v>5</v>
      </c>
      <c r="I184" s="12">
        <v>202.66</v>
      </c>
      <c r="J184" s="12">
        <v>0</v>
      </c>
      <c r="K184" s="9">
        <v>1013.3</v>
      </c>
      <c r="L184" s="9">
        <v>268.2</v>
      </c>
      <c r="M184" s="9">
        <f t="shared" si="2"/>
        <v>0</v>
      </c>
    </row>
    <row r="185" spans="1:13" x14ac:dyDescent="0.3">
      <c r="A185" t="s">
        <v>351</v>
      </c>
      <c r="B185" s="1">
        <v>45715</v>
      </c>
      <c r="C185" t="s">
        <v>352</v>
      </c>
      <c r="D185" t="s">
        <v>14</v>
      </c>
      <c r="E185" t="s">
        <v>56</v>
      </c>
      <c r="F185" t="s">
        <v>21</v>
      </c>
      <c r="G185" t="s">
        <v>28</v>
      </c>
      <c r="H185">
        <v>1</v>
      </c>
      <c r="I185" s="12">
        <v>310.85000000000002</v>
      </c>
      <c r="J185" s="12">
        <v>0.2</v>
      </c>
      <c r="K185" s="9">
        <v>248.68</v>
      </c>
      <c r="L185" s="9">
        <v>18.18</v>
      </c>
      <c r="M185" s="9">
        <f t="shared" si="2"/>
        <v>62.170000000000009</v>
      </c>
    </row>
    <row r="186" spans="1:13" x14ac:dyDescent="0.3">
      <c r="A186" t="s">
        <v>353</v>
      </c>
      <c r="B186" s="1">
        <v>45716</v>
      </c>
      <c r="C186" t="s">
        <v>164</v>
      </c>
      <c r="D186" t="s">
        <v>14</v>
      </c>
      <c r="E186" t="s">
        <v>65</v>
      </c>
      <c r="F186" t="s">
        <v>16</v>
      </c>
      <c r="G186" t="s">
        <v>32</v>
      </c>
      <c r="H186">
        <v>2</v>
      </c>
      <c r="I186" s="12">
        <v>18.28</v>
      </c>
      <c r="J186" s="12">
        <v>0.1</v>
      </c>
      <c r="K186" s="9">
        <v>32.909999999999997</v>
      </c>
      <c r="L186" s="9">
        <v>2.71</v>
      </c>
      <c r="M186" s="9">
        <f t="shared" si="2"/>
        <v>3.6560000000000006</v>
      </c>
    </row>
    <row r="187" spans="1:13" x14ac:dyDescent="0.3">
      <c r="A187" t="s">
        <v>354</v>
      </c>
      <c r="B187" s="1">
        <v>45716</v>
      </c>
      <c r="C187" t="s">
        <v>355</v>
      </c>
      <c r="D187" t="s">
        <v>14</v>
      </c>
      <c r="E187" t="s">
        <v>51</v>
      </c>
      <c r="F187" t="s">
        <v>27</v>
      </c>
      <c r="G187" t="s">
        <v>17</v>
      </c>
      <c r="H187">
        <v>3</v>
      </c>
      <c r="I187" s="12">
        <v>865.75</v>
      </c>
      <c r="J187" s="12">
        <v>0</v>
      </c>
      <c r="K187" s="9">
        <v>2597.25</v>
      </c>
      <c r="L187" s="9">
        <v>402.01</v>
      </c>
      <c r="M187" s="9">
        <f t="shared" si="2"/>
        <v>0</v>
      </c>
    </row>
    <row r="188" spans="1:13" x14ac:dyDescent="0.3">
      <c r="A188" t="s">
        <v>356</v>
      </c>
      <c r="B188" s="1">
        <v>45716</v>
      </c>
      <c r="C188" t="s">
        <v>299</v>
      </c>
      <c r="D188" t="s">
        <v>40</v>
      </c>
      <c r="E188" t="s">
        <v>20</v>
      </c>
      <c r="F188" t="s">
        <v>21</v>
      </c>
      <c r="G188" t="s">
        <v>32</v>
      </c>
      <c r="H188">
        <v>3</v>
      </c>
      <c r="I188" s="12">
        <v>179.28</v>
      </c>
      <c r="J188" s="12">
        <v>0.05</v>
      </c>
      <c r="K188" s="9">
        <v>510.94</v>
      </c>
      <c r="L188" s="9">
        <v>107.07</v>
      </c>
      <c r="M188" s="9">
        <f t="shared" si="2"/>
        <v>26.892000000000003</v>
      </c>
    </row>
    <row r="189" spans="1:13" x14ac:dyDescent="0.3">
      <c r="A189" t="s">
        <v>357</v>
      </c>
      <c r="B189" s="1">
        <v>45718</v>
      </c>
      <c r="C189" t="s">
        <v>318</v>
      </c>
      <c r="D189" t="s">
        <v>25</v>
      </c>
      <c r="E189" t="s">
        <v>41</v>
      </c>
      <c r="F189" t="s">
        <v>42</v>
      </c>
      <c r="G189" t="s">
        <v>17</v>
      </c>
      <c r="H189">
        <v>3</v>
      </c>
      <c r="I189" s="12">
        <v>52.15</v>
      </c>
      <c r="J189" s="12">
        <v>0.1</v>
      </c>
      <c r="K189" s="9">
        <v>140.80000000000001</v>
      </c>
      <c r="L189" s="9">
        <v>28.51</v>
      </c>
      <c r="M189" s="9">
        <f t="shared" si="2"/>
        <v>15.645</v>
      </c>
    </row>
    <row r="190" spans="1:13" x14ac:dyDescent="0.3">
      <c r="A190" t="s">
        <v>358</v>
      </c>
      <c r="B190" s="1">
        <v>45718</v>
      </c>
      <c r="C190" t="s">
        <v>359</v>
      </c>
      <c r="D190" t="s">
        <v>40</v>
      </c>
      <c r="E190" t="s">
        <v>51</v>
      </c>
      <c r="F190" t="s">
        <v>27</v>
      </c>
      <c r="G190" t="s">
        <v>17</v>
      </c>
      <c r="H190">
        <v>1</v>
      </c>
      <c r="I190" s="12">
        <v>964.86</v>
      </c>
      <c r="J190" s="12">
        <v>0</v>
      </c>
      <c r="K190" s="9">
        <v>964.86</v>
      </c>
      <c r="L190" s="9">
        <v>173.31</v>
      </c>
      <c r="M190" s="9">
        <f t="shared" si="2"/>
        <v>0</v>
      </c>
    </row>
    <row r="191" spans="1:13" x14ac:dyDescent="0.3">
      <c r="A191" t="s">
        <v>360</v>
      </c>
      <c r="B191" s="1">
        <v>45718</v>
      </c>
      <c r="C191" t="s">
        <v>315</v>
      </c>
      <c r="D191" t="s">
        <v>25</v>
      </c>
      <c r="E191" t="s">
        <v>51</v>
      </c>
      <c r="F191" t="s">
        <v>27</v>
      </c>
      <c r="G191" t="s">
        <v>17</v>
      </c>
      <c r="H191">
        <v>3</v>
      </c>
      <c r="I191" s="12">
        <v>894.78</v>
      </c>
      <c r="J191" s="12">
        <v>0</v>
      </c>
      <c r="K191" s="9">
        <v>2684.33</v>
      </c>
      <c r="L191" s="9">
        <v>413.64</v>
      </c>
      <c r="M191" s="9">
        <f t="shared" si="2"/>
        <v>0</v>
      </c>
    </row>
    <row r="192" spans="1:13" x14ac:dyDescent="0.3">
      <c r="A192" t="s">
        <v>361</v>
      </c>
      <c r="B192" s="1">
        <v>45719</v>
      </c>
      <c r="C192" t="s">
        <v>219</v>
      </c>
      <c r="D192" t="s">
        <v>40</v>
      </c>
      <c r="E192" t="s">
        <v>37</v>
      </c>
      <c r="F192" t="s">
        <v>27</v>
      </c>
      <c r="G192" t="s">
        <v>17</v>
      </c>
      <c r="H192">
        <v>3</v>
      </c>
      <c r="I192" s="12">
        <v>219.29</v>
      </c>
      <c r="J192" s="12">
        <v>0</v>
      </c>
      <c r="K192" s="9">
        <v>657.87</v>
      </c>
      <c r="L192" s="9">
        <v>139.18</v>
      </c>
      <c r="M192" s="9">
        <f t="shared" si="2"/>
        <v>0</v>
      </c>
    </row>
    <row r="193" spans="1:13" x14ac:dyDescent="0.3">
      <c r="A193" t="s">
        <v>362</v>
      </c>
      <c r="B193" s="1">
        <v>45719</v>
      </c>
      <c r="C193" t="s">
        <v>297</v>
      </c>
      <c r="D193" t="s">
        <v>14</v>
      </c>
      <c r="E193" t="s">
        <v>65</v>
      </c>
      <c r="F193" t="s">
        <v>16</v>
      </c>
      <c r="G193" t="s">
        <v>32</v>
      </c>
      <c r="H193">
        <v>4</v>
      </c>
      <c r="I193" s="12">
        <v>19.149999999999999</v>
      </c>
      <c r="J193" s="12">
        <v>0</v>
      </c>
      <c r="K193" s="9">
        <v>76.599999999999994</v>
      </c>
      <c r="L193" s="9">
        <v>21.44</v>
      </c>
      <c r="M193" s="9">
        <f t="shared" si="2"/>
        <v>0</v>
      </c>
    </row>
    <row r="194" spans="1:13" x14ac:dyDescent="0.3">
      <c r="A194" t="s">
        <v>363</v>
      </c>
      <c r="B194" s="1">
        <v>45719</v>
      </c>
      <c r="C194" t="s">
        <v>364</v>
      </c>
      <c r="D194" t="s">
        <v>25</v>
      </c>
      <c r="E194" t="s">
        <v>56</v>
      </c>
      <c r="F194" t="s">
        <v>21</v>
      </c>
      <c r="G194" t="s">
        <v>32</v>
      </c>
      <c r="H194">
        <v>2</v>
      </c>
      <c r="I194" s="12">
        <v>328.08</v>
      </c>
      <c r="J194" s="12">
        <v>0</v>
      </c>
      <c r="K194" s="9">
        <v>656.16</v>
      </c>
      <c r="L194" s="9">
        <v>172.94</v>
      </c>
      <c r="M194" s="9">
        <f t="shared" si="2"/>
        <v>0</v>
      </c>
    </row>
    <row r="195" spans="1:13" x14ac:dyDescent="0.3">
      <c r="A195" t="s">
        <v>365</v>
      </c>
      <c r="B195" s="1">
        <v>45719</v>
      </c>
      <c r="C195" t="s">
        <v>366</v>
      </c>
      <c r="D195" t="s">
        <v>40</v>
      </c>
      <c r="E195" t="s">
        <v>31</v>
      </c>
      <c r="F195" t="s">
        <v>21</v>
      </c>
      <c r="G195" t="s">
        <v>17</v>
      </c>
      <c r="H195">
        <v>1</v>
      </c>
      <c r="I195" s="12">
        <v>44.1</v>
      </c>
      <c r="J195" s="12">
        <v>0.05</v>
      </c>
      <c r="K195" s="9">
        <v>41.9</v>
      </c>
      <c r="L195" s="9">
        <v>8.5399999999999991</v>
      </c>
      <c r="M195" s="9">
        <f t="shared" ref="M195:M258" si="3">H195*I195*J195</f>
        <v>2.2050000000000001</v>
      </c>
    </row>
    <row r="196" spans="1:13" x14ac:dyDescent="0.3">
      <c r="A196" t="s">
        <v>367</v>
      </c>
      <c r="B196" s="1">
        <v>45719</v>
      </c>
      <c r="C196" t="s">
        <v>224</v>
      </c>
      <c r="D196" t="s">
        <v>14</v>
      </c>
      <c r="E196" t="s">
        <v>26</v>
      </c>
      <c r="F196" t="s">
        <v>27</v>
      </c>
      <c r="G196" t="s">
        <v>28</v>
      </c>
      <c r="H196">
        <v>1</v>
      </c>
      <c r="I196" s="12">
        <v>73.430000000000007</v>
      </c>
      <c r="J196" s="12">
        <v>0.15</v>
      </c>
      <c r="K196" s="9">
        <v>62.41</v>
      </c>
      <c r="L196" s="9">
        <v>8.1999999999999993</v>
      </c>
      <c r="M196" s="9">
        <f t="shared" si="3"/>
        <v>11.0145</v>
      </c>
    </row>
    <row r="197" spans="1:13" x14ac:dyDescent="0.3">
      <c r="A197" t="s">
        <v>368</v>
      </c>
      <c r="B197" s="1">
        <v>45720</v>
      </c>
      <c r="C197" t="s">
        <v>13</v>
      </c>
      <c r="D197" t="s">
        <v>40</v>
      </c>
      <c r="E197" t="s">
        <v>56</v>
      </c>
      <c r="F197" t="s">
        <v>21</v>
      </c>
      <c r="G197" t="s">
        <v>22</v>
      </c>
      <c r="H197">
        <v>1</v>
      </c>
      <c r="I197" s="12">
        <v>322.69</v>
      </c>
      <c r="J197" s="12">
        <v>0.15</v>
      </c>
      <c r="K197" s="9">
        <v>274.29000000000002</v>
      </c>
      <c r="L197" s="9">
        <v>30.11</v>
      </c>
      <c r="M197" s="9">
        <f t="shared" si="3"/>
        <v>48.403500000000001</v>
      </c>
    </row>
    <row r="198" spans="1:13" x14ac:dyDescent="0.3">
      <c r="A198" t="s">
        <v>369</v>
      </c>
      <c r="B198" s="1">
        <v>45720</v>
      </c>
      <c r="C198" t="s">
        <v>370</v>
      </c>
      <c r="D198" t="s">
        <v>14</v>
      </c>
      <c r="E198" t="s">
        <v>37</v>
      </c>
      <c r="F198" t="s">
        <v>27</v>
      </c>
      <c r="G198" t="s">
        <v>22</v>
      </c>
      <c r="H198">
        <v>2</v>
      </c>
      <c r="I198" s="12">
        <v>230.21</v>
      </c>
      <c r="J198" s="12">
        <v>0.1</v>
      </c>
      <c r="K198" s="9">
        <v>414.38</v>
      </c>
      <c r="L198" s="9">
        <v>98.41</v>
      </c>
      <c r="M198" s="9">
        <f t="shared" si="3"/>
        <v>46.042000000000002</v>
      </c>
    </row>
    <row r="199" spans="1:13" x14ac:dyDescent="0.3">
      <c r="A199" t="s">
        <v>371</v>
      </c>
      <c r="B199" s="1">
        <v>45720</v>
      </c>
      <c r="C199" t="s">
        <v>372</v>
      </c>
      <c r="D199" t="s">
        <v>25</v>
      </c>
      <c r="E199" t="s">
        <v>51</v>
      </c>
      <c r="F199" t="s">
        <v>27</v>
      </c>
      <c r="G199" t="s">
        <v>32</v>
      </c>
      <c r="H199">
        <v>2</v>
      </c>
      <c r="I199" s="12">
        <v>1027.23</v>
      </c>
      <c r="J199" s="12">
        <v>0.05</v>
      </c>
      <c r="K199" s="9">
        <v>1951.74</v>
      </c>
      <c r="L199" s="9">
        <v>383.46</v>
      </c>
      <c r="M199" s="9">
        <f t="shared" si="3"/>
        <v>102.72300000000001</v>
      </c>
    </row>
    <row r="200" spans="1:13" x14ac:dyDescent="0.3">
      <c r="A200" t="s">
        <v>373</v>
      </c>
      <c r="B200" s="1">
        <v>45721</v>
      </c>
      <c r="C200" t="s">
        <v>374</v>
      </c>
      <c r="D200" t="s">
        <v>40</v>
      </c>
      <c r="E200" t="s">
        <v>65</v>
      </c>
      <c r="F200" t="s">
        <v>16</v>
      </c>
      <c r="G200" t="s">
        <v>28</v>
      </c>
      <c r="H200">
        <v>2</v>
      </c>
      <c r="I200" s="12">
        <v>17.91</v>
      </c>
      <c r="J200" s="12">
        <v>0</v>
      </c>
      <c r="K200" s="9">
        <v>35.81</v>
      </c>
      <c r="L200" s="9">
        <v>8</v>
      </c>
      <c r="M200" s="9">
        <f t="shared" si="3"/>
        <v>0</v>
      </c>
    </row>
    <row r="201" spans="1:13" x14ac:dyDescent="0.3">
      <c r="A201" t="s">
        <v>375</v>
      </c>
      <c r="B201" s="1">
        <v>45721</v>
      </c>
      <c r="C201" t="s">
        <v>285</v>
      </c>
      <c r="D201" t="s">
        <v>25</v>
      </c>
      <c r="E201" t="s">
        <v>31</v>
      </c>
      <c r="F201" t="s">
        <v>21</v>
      </c>
      <c r="G201" t="s">
        <v>17</v>
      </c>
      <c r="H201">
        <v>1</v>
      </c>
      <c r="I201" s="12">
        <v>38.14</v>
      </c>
      <c r="J201" s="12">
        <v>0.05</v>
      </c>
      <c r="K201" s="9">
        <v>36.229999999999997</v>
      </c>
      <c r="L201" s="9">
        <v>5.72</v>
      </c>
      <c r="M201" s="9">
        <f t="shared" si="3"/>
        <v>1.907</v>
      </c>
    </row>
    <row r="202" spans="1:13" x14ac:dyDescent="0.3">
      <c r="A202" t="s">
        <v>376</v>
      </c>
      <c r="B202" s="1">
        <v>45721</v>
      </c>
      <c r="C202" t="s">
        <v>377</v>
      </c>
      <c r="D202" t="s">
        <v>25</v>
      </c>
      <c r="E202" t="s">
        <v>110</v>
      </c>
      <c r="F202" t="s">
        <v>42</v>
      </c>
      <c r="G202" t="s">
        <v>17</v>
      </c>
      <c r="H202">
        <v>2</v>
      </c>
      <c r="I202" s="12">
        <v>22.84</v>
      </c>
      <c r="J202" s="12">
        <v>0</v>
      </c>
      <c r="K202" s="9">
        <v>45.68</v>
      </c>
      <c r="L202" s="9">
        <v>8.35</v>
      </c>
      <c r="M202" s="9">
        <f t="shared" si="3"/>
        <v>0</v>
      </c>
    </row>
    <row r="203" spans="1:13" x14ac:dyDescent="0.3">
      <c r="A203" t="s">
        <v>378</v>
      </c>
      <c r="B203" s="1">
        <v>45721</v>
      </c>
      <c r="C203" t="s">
        <v>243</v>
      </c>
      <c r="D203" t="s">
        <v>40</v>
      </c>
      <c r="E203" t="s">
        <v>41</v>
      </c>
      <c r="F203" t="s">
        <v>42</v>
      </c>
      <c r="G203" t="s">
        <v>17</v>
      </c>
      <c r="H203">
        <v>3</v>
      </c>
      <c r="I203" s="12">
        <v>53.55</v>
      </c>
      <c r="J203" s="12">
        <v>0</v>
      </c>
      <c r="K203" s="9">
        <v>160.65</v>
      </c>
      <c r="L203" s="9">
        <v>24.55</v>
      </c>
      <c r="M203" s="9">
        <f t="shared" si="3"/>
        <v>0</v>
      </c>
    </row>
    <row r="204" spans="1:13" x14ac:dyDescent="0.3">
      <c r="A204" t="s">
        <v>379</v>
      </c>
      <c r="B204" s="1">
        <v>45722</v>
      </c>
      <c r="C204" t="s">
        <v>380</v>
      </c>
      <c r="D204" t="s">
        <v>40</v>
      </c>
      <c r="E204" t="s">
        <v>92</v>
      </c>
      <c r="F204" t="s">
        <v>16</v>
      </c>
      <c r="G204" t="s">
        <v>17</v>
      </c>
      <c r="H204">
        <v>1</v>
      </c>
      <c r="I204" s="12">
        <v>8.67</v>
      </c>
      <c r="J204" s="12">
        <v>0.05</v>
      </c>
      <c r="K204" s="9">
        <v>8.24</v>
      </c>
      <c r="L204" s="9">
        <v>0.98</v>
      </c>
      <c r="M204" s="9">
        <f t="shared" si="3"/>
        <v>0.4335</v>
      </c>
    </row>
    <row r="205" spans="1:13" x14ac:dyDescent="0.3">
      <c r="A205" t="s">
        <v>381</v>
      </c>
      <c r="B205" s="1">
        <v>45722</v>
      </c>
      <c r="C205" t="s">
        <v>266</v>
      </c>
      <c r="D205" t="s">
        <v>40</v>
      </c>
      <c r="E205" t="s">
        <v>37</v>
      </c>
      <c r="F205" t="s">
        <v>27</v>
      </c>
      <c r="G205" t="s">
        <v>32</v>
      </c>
      <c r="H205">
        <v>1</v>
      </c>
      <c r="I205" s="12">
        <v>208.68</v>
      </c>
      <c r="J205" s="12">
        <v>0</v>
      </c>
      <c r="K205" s="9">
        <v>208.68</v>
      </c>
      <c r="L205" s="9">
        <v>22.87</v>
      </c>
      <c r="M205" s="9">
        <f t="shared" si="3"/>
        <v>0</v>
      </c>
    </row>
    <row r="206" spans="1:13" x14ac:dyDescent="0.3">
      <c r="A206" t="s">
        <v>382</v>
      </c>
      <c r="B206" s="1">
        <v>45722</v>
      </c>
      <c r="C206" t="s">
        <v>383</v>
      </c>
      <c r="D206" t="s">
        <v>40</v>
      </c>
      <c r="E206" t="s">
        <v>20</v>
      </c>
      <c r="F206" t="s">
        <v>21</v>
      </c>
      <c r="G206" t="s">
        <v>22</v>
      </c>
      <c r="H206">
        <v>3</v>
      </c>
      <c r="I206" s="12">
        <v>181.23</v>
      </c>
      <c r="J206" s="12">
        <v>0.1</v>
      </c>
      <c r="K206" s="9">
        <v>489.32</v>
      </c>
      <c r="L206" s="9">
        <v>91.83</v>
      </c>
      <c r="M206" s="9">
        <f t="shared" si="3"/>
        <v>54.369</v>
      </c>
    </row>
    <row r="207" spans="1:13" x14ac:dyDescent="0.3">
      <c r="A207" t="s">
        <v>384</v>
      </c>
      <c r="B207" s="1">
        <v>45722</v>
      </c>
      <c r="C207" t="s">
        <v>385</v>
      </c>
      <c r="D207" t="s">
        <v>25</v>
      </c>
      <c r="E207" t="s">
        <v>110</v>
      </c>
      <c r="F207" t="s">
        <v>42</v>
      </c>
      <c r="G207" t="s">
        <v>17</v>
      </c>
      <c r="H207">
        <v>1</v>
      </c>
      <c r="I207" s="12">
        <v>23.72</v>
      </c>
      <c r="J207" s="12">
        <v>0.1</v>
      </c>
      <c r="K207" s="9">
        <v>21.35</v>
      </c>
      <c r="L207" s="9">
        <v>2.95</v>
      </c>
      <c r="M207" s="9">
        <f t="shared" si="3"/>
        <v>2.3719999999999999</v>
      </c>
    </row>
    <row r="208" spans="1:13" x14ac:dyDescent="0.3">
      <c r="A208" t="s">
        <v>386</v>
      </c>
      <c r="B208" s="1">
        <v>45723</v>
      </c>
      <c r="C208" t="s">
        <v>387</v>
      </c>
      <c r="D208" t="s">
        <v>14</v>
      </c>
      <c r="E208" t="s">
        <v>26</v>
      </c>
      <c r="F208" t="s">
        <v>27</v>
      </c>
      <c r="G208" t="s">
        <v>22</v>
      </c>
      <c r="H208">
        <v>3</v>
      </c>
      <c r="I208" s="12">
        <v>82.05</v>
      </c>
      <c r="J208" s="12">
        <v>0</v>
      </c>
      <c r="K208" s="9">
        <v>246.14</v>
      </c>
      <c r="L208" s="9">
        <v>42.03</v>
      </c>
      <c r="M208" s="9">
        <f t="shared" si="3"/>
        <v>0</v>
      </c>
    </row>
    <row r="209" spans="1:13" x14ac:dyDescent="0.3">
      <c r="A209" t="s">
        <v>388</v>
      </c>
      <c r="B209" s="1">
        <v>45723</v>
      </c>
      <c r="C209" t="s">
        <v>389</v>
      </c>
      <c r="D209" t="s">
        <v>14</v>
      </c>
      <c r="E209" t="s">
        <v>65</v>
      </c>
      <c r="F209" t="s">
        <v>16</v>
      </c>
      <c r="G209" t="s">
        <v>28</v>
      </c>
      <c r="H209">
        <v>3</v>
      </c>
      <c r="I209" s="12">
        <v>18.399999999999999</v>
      </c>
      <c r="J209" s="12">
        <v>0.05</v>
      </c>
      <c r="K209" s="9">
        <v>52.45</v>
      </c>
      <c r="L209" s="9">
        <v>5.38</v>
      </c>
      <c r="M209" s="9">
        <f t="shared" si="3"/>
        <v>2.76</v>
      </c>
    </row>
    <row r="210" spans="1:13" x14ac:dyDescent="0.3">
      <c r="A210" t="s">
        <v>390</v>
      </c>
      <c r="B210" s="1">
        <v>45723</v>
      </c>
      <c r="C210" t="s">
        <v>332</v>
      </c>
      <c r="D210" t="s">
        <v>40</v>
      </c>
      <c r="E210" t="s">
        <v>110</v>
      </c>
      <c r="F210" t="s">
        <v>42</v>
      </c>
      <c r="G210" t="s">
        <v>32</v>
      </c>
      <c r="H210">
        <v>4</v>
      </c>
      <c r="I210" s="12">
        <v>22.17</v>
      </c>
      <c r="J210" s="12">
        <v>0.05</v>
      </c>
      <c r="K210" s="9">
        <v>84.26</v>
      </c>
      <c r="L210" s="9">
        <v>9.92</v>
      </c>
      <c r="M210" s="9">
        <f t="shared" si="3"/>
        <v>4.4340000000000002</v>
      </c>
    </row>
    <row r="211" spans="1:13" x14ac:dyDescent="0.3">
      <c r="A211" t="s">
        <v>391</v>
      </c>
      <c r="B211" s="1">
        <v>45723</v>
      </c>
      <c r="C211" t="s">
        <v>346</v>
      </c>
      <c r="D211" t="s">
        <v>40</v>
      </c>
      <c r="E211" t="s">
        <v>31</v>
      </c>
      <c r="F211" t="s">
        <v>21</v>
      </c>
      <c r="G211" t="s">
        <v>17</v>
      </c>
      <c r="H211">
        <v>3</v>
      </c>
      <c r="I211" s="12">
        <v>45.62</v>
      </c>
      <c r="J211" s="12">
        <v>0.05</v>
      </c>
      <c r="K211" s="9">
        <v>130.02000000000001</v>
      </c>
      <c r="L211" s="9">
        <v>33.82</v>
      </c>
      <c r="M211" s="9">
        <f t="shared" si="3"/>
        <v>6.843</v>
      </c>
    </row>
    <row r="212" spans="1:13" x14ac:dyDescent="0.3">
      <c r="A212" t="s">
        <v>392</v>
      </c>
      <c r="B212" s="1">
        <v>45723</v>
      </c>
      <c r="C212" t="s">
        <v>177</v>
      </c>
      <c r="D212" t="s">
        <v>40</v>
      </c>
      <c r="E212" t="s">
        <v>54</v>
      </c>
      <c r="F212" t="s">
        <v>27</v>
      </c>
      <c r="G212" t="s">
        <v>28</v>
      </c>
      <c r="H212">
        <v>5</v>
      </c>
      <c r="I212" s="12">
        <v>27.21</v>
      </c>
      <c r="J212" s="12">
        <v>0</v>
      </c>
      <c r="K212" s="9">
        <v>136.06</v>
      </c>
      <c r="L212" s="9">
        <v>21.33</v>
      </c>
      <c r="M212" s="9">
        <f t="shared" si="3"/>
        <v>0</v>
      </c>
    </row>
    <row r="213" spans="1:13" x14ac:dyDescent="0.3">
      <c r="A213" t="s">
        <v>393</v>
      </c>
      <c r="B213" s="1">
        <v>45724</v>
      </c>
      <c r="C213" t="s">
        <v>394</v>
      </c>
      <c r="D213" t="s">
        <v>40</v>
      </c>
      <c r="E213" t="s">
        <v>31</v>
      </c>
      <c r="F213" t="s">
        <v>21</v>
      </c>
      <c r="G213" t="s">
        <v>22</v>
      </c>
      <c r="H213">
        <v>3</v>
      </c>
      <c r="I213" s="12">
        <v>40.090000000000003</v>
      </c>
      <c r="J213" s="12">
        <v>0.05</v>
      </c>
      <c r="K213" s="9">
        <v>114.25</v>
      </c>
      <c r="L213" s="9">
        <v>11.62</v>
      </c>
      <c r="M213" s="9">
        <f t="shared" si="3"/>
        <v>6.0135000000000005</v>
      </c>
    </row>
    <row r="214" spans="1:13" x14ac:dyDescent="0.3">
      <c r="A214" t="s">
        <v>395</v>
      </c>
      <c r="B214" s="1">
        <v>45724</v>
      </c>
      <c r="C214" t="s">
        <v>396</v>
      </c>
      <c r="D214" t="s">
        <v>40</v>
      </c>
      <c r="E214" t="s">
        <v>31</v>
      </c>
      <c r="F214" t="s">
        <v>21</v>
      </c>
      <c r="G214" t="s">
        <v>22</v>
      </c>
      <c r="H214">
        <v>1</v>
      </c>
      <c r="I214" s="12">
        <v>41.96</v>
      </c>
      <c r="J214" s="12">
        <v>0.15</v>
      </c>
      <c r="K214" s="9">
        <v>35.67</v>
      </c>
      <c r="L214" s="9">
        <v>6.88</v>
      </c>
      <c r="M214" s="9">
        <f t="shared" si="3"/>
        <v>6.2939999999999996</v>
      </c>
    </row>
    <row r="215" spans="1:13" x14ac:dyDescent="0.3">
      <c r="A215" t="s">
        <v>397</v>
      </c>
      <c r="B215" s="1">
        <v>45724</v>
      </c>
      <c r="C215" t="s">
        <v>352</v>
      </c>
      <c r="D215" t="s">
        <v>25</v>
      </c>
      <c r="E215" t="s">
        <v>41</v>
      </c>
      <c r="F215" t="s">
        <v>42</v>
      </c>
      <c r="G215" t="s">
        <v>28</v>
      </c>
      <c r="H215">
        <v>3</v>
      </c>
      <c r="I215" s="12">
        <v>52.49</v>
      </c>
      <c r="J215" s="12">
        <v>0</v>
      </c>
      <c r="K215" s="9">
        <v>157.47</v>
      </c>
      <c r="L215" s="9">
        <v>19.3</v>
      </c>
      <c r="M215" s="9">
        <f t="shared" si="3"/>
        <v>0</v>
      </c>
    </row>
    <row r="216" spans="1:13" x14ac:dyDescent="0.3">
      <c r="A216" t="s">
        <v>398</v>
      </c>
      <c r="B216" s="1">
        <v>45725</v>
      </c>
      <c r="C216" t="s">
        <v>103</v>
      </c>
      <c r="D216" t="s">
        <v>14</v>
      </c>
      <c r="E216" t="s">
        <v>20</v>
      </c>
      <c r="F216" t="s">
        <v>21</v>
      </c>
      <c r="G216" t="s">
        <v>17</v>
      </c>
      <c r="H216">
        <v>2</v>
      </c>
      <c r="I216" s="12">
        <v>182.04</v>
      </c>
      <c r="J216" s="12">
        <v>0.1</v>
      </c>
      <c r="K216" s="9">
        <v>327.67</v>
      </c>
      <c r="L216" s="9">
        <v>68.03</v>
      </c>
      <c r="M216" s="9">
        <f t="shared" si="3"/>
        <v>36.408000000000001</v>
      </c>
    </row>
    <row r="217" spans="1:13" x14ac:dyDescent="0.3">
      <c r="A217" t="s">
        <v>399</v>
      </c>
      <c r="B217" s="1">
        <v>45725</v>
      </c>
      <c r="C217" t="s">
        <v>400</v>
      </c>
      <c r="D217" t="s">
        <v>14</v>
      </c>
      <c r="E217" t="s">
        <v>56</v>
      </c>
      <c r="F217" t="s">
        <v>21</v>
      </c>
      <c r="G217" t="s">
        <v>28</v>
      </c>
      <c r="H217">
        <v>2</v>
      </c>
      <c r="I217" s="12">
        <v>332</v>
      </c>
      <c r="J217" s="12">
        <v>0.15</v>
      </c>
      <c r="K217" s="9">
        <v>564.4</v>
      </c>
      <c r="L217" s="9">
        <v>62.24</v>
      </c>
      <c r="M217" s="9">
        <f t="shared" si="3"/>
        <v>99.6</v>
      </c>
    </row>
    <row r="218" spans="1:13" x14ac:dyDescent="0.3">
      <c r="A218" t="s">
        <v>401</v>
      </c>
      <c r="B218" s="1">
        <v>45726</v>
      </c>
      <c r="C218" t="s">
        <v>187</v>
      </c>
      <c r="D218" t="s">
        <v>14</v>
      </c>
      <c r="E218" t="s">
        <v>56</v>
      </c>
      <c r="F218" t="s">
        <v>21</v>
      </c>
      <c r="G218" t="s">
        <v>22</v>
      </c>
      <c r="H218">
        <v>2</v>
      </c>
      <c r="I218" s="12">
        <v>304.93</v>
      </c>
      <c r="J218" s="12">
        <v>0</v>
      </c>
      <c r="K218" s="9">
        <v>609.86</v>
      </c>
      <c r="L218" s="9">
        <v>90.49</v>
      </c>
      <c r="M218" s="9">
        <f t="shared" si="3"/>
        <v>0</v>
      </c>
    </row>
    <row r="219" spans="1:13" x14ac:dyDescent="0.3">
      <c r="A219" t="s">
        <v>402</v>
      </c>
      <c r="B219" s="1">
        <v>45726</v>
      </c>
      <c r="C219" t="s">
        <v>103</v>
      </c>
      <c r="D219" t="s">
        <v>25</v>
      </c>
      <c r="E219" t="s">
        <v>51</v>
      </c>
      <c r="F219" t="s">
        <v>27</v>
      </c>
      <c r="G219" t="s">
        <v>22</v>
      </c>
      <c r="H219">
        <v>1</v>
      </c>
      <c r="I219" s="12">
        <v>859.49</v>
      </c>
      <c r="J219" s="12">
        <v>0</v>
      </c>
      <c r="K219" s="9">
        <v>859.49</v>
      </c>
      <c r="L219" s="9">
        <v>179.11</v>
      </c>
      <c r="M219" s="9">
        <f t="shared" si="3"/>
        <v>0</v>
      </c>
    </row>
    <row r="220" spans="1:13" x14ac:dyDescent="0.3">
      <c r="A220" t="s">
        <v>403</v>
      </c>
      <c r="B220" s="1">
        <v>45727</v>
      </c>
      <c r="C220" t="s">
        <v>404</v>
      </c>
      <c r="D220" t="s">
        <v>25</v>
      </c>
      <c r="E220" t="s">
        <v>92</v>
      </c>
      <c r="F220" t="s">
        <v>16</v>
      </c>
      <c r="G220" t="s">
        <v>32</v>
      </c>
      <c r="H220">
        <v>5</v>
      </c>
      <c r="I220" s="12">
        <v>9.8699999999999992</v>
      </c>
      <c r="J220" s="12">
        <v>0.1</v>
      </c>
      <c r="K220" s="9">
        <v>44.4</v>
      </c>
      <c r="L220" s="9">
        <v>7.77</v>
      </c>
      <c r="M220" s="9">
        <f t="shared" si="3"/>
        <v>4.9349999999999996</v>
      </c>
    </row>
    <row r="221" spans="1:13" x14ac:dyDescent="0.3">
      <c r="A221" t="s">
        <v>405</v>
      </c>
      <c r="B221" s="1">
        <v>45727</v>
      </c>
      <c r="C221" t="s">
        <v>406</v>
      </c>
      <c r="D221" t="s">
        <v>14</v>
      </c>
      <c r="E221" t="s">
        <v>20</v>
      </c>
      <c r="F221" t="s">
        <v>21</v>
      </c>
      <c r="G221" t="s">
        <v>17</v>
      </c>
      <c r="H221">
        <v>2</v>
      </c>
      <c r="I221" s="12">
        <v>189.01</v>
      </c>
      <c r="J221" s="12">
        <v>0.1</v>
      </c>
      <c r="K221" s="9">
        <v>340.21</v>
      </c>
      <c r="L221" s="9">
        <v>48.88</v>
      </c>
      <c r="M221" s="9">
        <f t="shared" si="3"/>
        <v>37.802</v>
      </c>
    </row>
    <row r="222" spans="1:13" x14ac:dyDescent="0.3">
      <c r="A222" t="s">
        <v>407</v>
      </c>
      <c r="B222" s="1">
        <v>45727</v>
      </c>
      <c r="C222" t="s">
        <v>408</v>
      </c>
      <c r="D222" t="s">
        <v>14</v>
      </c>
      <c r="E222" t="s">
        <v>110</v>
      </c>
      <c r="F222" t="s">
        <v>42</v>
      </c>
      <c r="G222" t="s">
        <v>22</v>
      </c>
      <c r="H222">
        <v>5</v>
      </c>
      <c r="I222" s="12">
        <v>22.91</v>
      </c>
      <c r="J222" s="12">
        <v>0.15</v>
      </c>
      <c r="K222" s="9">
        <v>97.39</v>
      </c>
      <c r="L222" s="9">
        <v>18.95</v>
      </c>
      <c r="M222" s="9">
        <f t="shared" si="3"/>
        <v>17.182499999999997</v>
      </c>
    </row>
    <row r="223" spans="1:13" x14ac:dyDescent="0.3">
      <c r="A223" t="s">
        <v>409</v>
      </c>
      <c r="B223" s="1">
        <v>45727</v>
      </c>
      <c r="C223" t="s">
        <v>410</v>
      </c>
      <c r="D223" t="s">
        <v>40</v>
      </c>
      <c r="E223" t="s">
        <v>110</v>
      </c>
      <c r="F223" t="s">
        <v>42</v>
      </c>
      <c r="G223" t="s">
        <v>22</v>
      </c>
      <c r="H223">
        <v>2</v>
      </c>
      <c r="I223" s="12">
        <v>22.98</v>
      </c>
      <c r="J223" s="12">
        <v>0.05</v>
      </c>
      <c r="K223" s="9">
        <v>43.66</v>
      </c>
      <c r="L223" s="9">
        <v>11.32</v>
      </c>
      <c r="M223" s="9">
        <f t="shared" si="3"/>
        <v>2.298</v>
      </c>
    </row>
    <row r="224" spans="1:13" x14ac:dyDescent="0.3">
      <c r="A224" t="s">
        <v>411</v>
      </c>
      <c r="B224" s="1">
        <v>45727</v>
      </c>
      <c r="C224" t="s">
        <v>412</v>
      </c>
      <c r="D224" t="s">
        <v>14</v>
      </c>
      <c r="E224" t="s">
        <v>54</v>
      </c>
      <c r="F224" t="s">
        <v>27</v>
      </c>
      <c r="G224" t="s">
        <v>32</v>
      </c>
      <c r="H224">
        <v>1</v>
      </c>
      <c r="I224" s="12">
        <v>29.69</v>
      </c>
      <c r="J224" s="12">
        <v>0.05</v>
      </c>
      <c r="K224" s="9">
        <v>28.21</v>
      </c>
      <c r="L224" s="9">
        <v>3.88</v>
      </c>
      <c r="M224" s="9">
        <f t="shared" si="3"/>
        <v>1.4845000000000002</v>
      </c>
    </row>
    <row r="225" spans="1:13" x14ac:dyDescent="0.3">
      <c r="A225" t="s">
        <v>413</v>
      </c>
      <c r="B225" s="1">
        <v>45728</v>
      </c>
      <c r="C225" t="s">
        <v>195</v>
      </c>
      <c r="D225" t="s">
        <v>14</v>
      </c>
      <c r="E225" t="s">
        <v>37</v>
      </c>
      <c r="F225" t="s">
        <v>27</v>
      </c>
      <c r="G225" t="s">
        <v>17</v>
      </c>
      <c r="H225">
        <v>1</v>
      </c>
      <c r="I225" s="12">
        <v>211.26</v>
      </c>
      <c r="J225" s="12">
        <v>0.05</v>
      </c>
      <c r="K225" s="9">
        <v>200.69</v>
      </c>
      <c r="L225" s="9">
        <v>20.170000000000002</v>
      </c>
      <c r="M225" s="9">
        <f t="shared" si="3"/>
        <v>10.563000000000001</v>
      </c>
    </row>
    <row r="226" spans="1:13" x14ac:dyDescent="0.3">
      <c r="A226" t="s">
        <v>414</v>
      </c>
      <c r="B226" s="1">
        <v>45728</v>
      </c>
      <c r="C226" t="s">
        <v>406</v>
      </c>
      <c r="D226" t="s">
        <v>14</v>
      </c>
      <c r="E226" t="s">
        <v>56</v>
      </c>
      <c r="F226" t="s">
        <v>21</v>
      </c>
      <c r="G226" t="s">
        <v>22</v>
      </c>
      <c r="H226">
        <v>1</v>
      </c>
      <c r="I226" s="12">
        <v>353.69</v>
      </c>
      <c r="J226" s="12">
        <v>0.1</v>
      </c>
      <c r="K226" s="9">
        <v>318.32</v>
      </c>
      <c r="L226" s="9">
        <v>40.78</v>
      </c>
      <c r="M226" s="9">
        <f t="shared" si="3"/>
        <v>35.369</v>
      </c>
    </row>
    <row r="227" spans="1:13" x14ac:dyDescent="0.3">
      <c r="A227" t="s">
        <v>415</v>
      </c>
      <c r="B227" s="1">
        <v>45728</v>
      </c>
      <c r="C227" t="s">
        <v>416</v>
      </c>
      <c r="D227" t="s">
        <v>14</v>
      </c>
      <c r="E227" t="s">
        <v>92</v>
      </c>
      <c r="F227" t="s">
        <v>16</v>
      </c>
      <c r="G227" t="s">
        <v>17</v>
      </c>
      <c r="H227">
        <v>2</v>
      </c>
      <c r="I227" s="12">
        <v>9.74</v>
      </c>
      <c r="J227" s="12">
        <v>0</v>
      </c>
      <c r="K227" s="9">
        <v>19.47</v>
      </c>
      <c r="L227" s="9">
        <v>1.95</v>
      </c>
      <c r="M227" s="9">
        <f t="shared" si="3"/>
        <v>0</v>
      </c>
    </row>
    <row r="228" spans="1:13" x14ac:dyDescent="0.3">
      <c r="A228" t="s">
        <v>417</v>
      </c>
      <c r="B228" s="1">
        <v>45728</v>
      </c>
      <c r="C228" t="s">
        <v>116</v>
      </c>
      <c r="D228" t="s">
        <v>40</v>
      </c>
      <c r="E228" t="s">
        <v>92</v>
      </c>
      <c r="F228" t="s">
        <v>16</v>
      </c>
      <c r="G228" t="s">
        <v>28</v>
      </c>
      <c r="H228">
        <v>2</v>
      </c>
      <c r="I228" s="12">
        <v>8.99</v>
      </c>
      <c r="J228" s="12">
        <v>0.1</v>
      </c>
      <c r="K228" s="9">
        <v>16.18</v>
      </c>
      <c r="L228" s="9">
        <v>1.98</v>
      </c>
      <c r="M228" s="9">
        <f t="shared" si="3"/>
        <v>1.798</v>
      </c>
    </row>
    <row r="229" spans="1:13" x14ac:dyDescent="0.3">
      <c r="A229" t="s">
        <v>418</v>
      </c>
      <c r="B229" s="1">
        <v>45729</v>
      </c>
      <c r="C229" t="s">
        <v>419</v>
      </c>
      <c r="D229" t="s">
        <v>14</v>
      </c>
      <c r="E229" t="s">
        <v>15</v>
      </c>
      <c r="F229" t="s">
        <v>16</v>
      </c>
      <c r="G229" t="s">
        <v>22</v>
      </c>
      <c r="H229">
        <v>1</v>
      </c>
      <c r="I229" s="12">
        <v>13.06</v>
      </c>
      <c r="J229" s="12">
        <v>0.1</v>
      </c>
      <c r="K229" s="9">
        <v>11.76</v>
      </c>
      <c r="L229" s="9">
        <v>1.54</v>
      </c>
      <c r="M229" s="9">
        <f t="shared" si="3"/>
        <v>1.306</v>
      </c>
    </row>
    <row r="230" spans="1:13" x14ac:dyDescent="0.3">
      <c r="A230" t="s">
        <v>420</v>
      </c>
      <c r="B230" s="1">
        <v>45729</v>
      </c>
      <c r="C230" t="s">
        <v>355</v>
      </c>
      <c r="D230" t="s">
        <v>14</v>
      </c>
      <c r="E230" t="s">
        <v>110</v>
      </c>
      <c r="F230" t="s">
        <v>42</v>
      </c>
      <c r="G230" t="s">
        <v>22</v>
      </c>
      <c r="H230">
        <v>2</v>
      </c>
      <c r="I230" s="12">
        <v>22.86</v>
      </c>
      <c r="J230" s="12">
        <v>0.05</v>
      </c>
      <c r="K230" s="9">
        <v>43.44</v>
      </c>
      <c r="L230" s="9">
        <v>9.19</v>
      </c>
      <c r="M230" s="9">
        <f t="shared" si="3"/>
        <v>2.286</v>
      </c>
    </row>
    <row r="231" spans="1:13" x14ac:dyDescent="0.3">
      <c r="A231" t="s">
        <v>421</v>
      </c>
      <c r="B231" s="1">
        <v>45729</v>
      </c>
      <c r="C231" t="s">
        <v>326</v>
      </c>
      <c r="D231" t="s">
        <v>14</v>
      </c>
      <c r="E231" t="s">
        <v>92</v>
      </c>
      <c r="F231" t="s">
        <v>16</v>
      </c>
      <c r="G231" t="s">
        <v>17</v>
      </c>
      <c r="H231">
        <v>3</v>
      </c>
      <c r="I231" s="12">
        <v>9.73</v>
      </c>
      <c r="J231" s="12">
        <v>0</v>
      </c>
      <c r="K231" s="9">
        <v>29.18</v>
      </c>
      <c r="L231" s="9">
        <v>7.38</v>
      </c>
      <c r="M231" s="9">
        <f t="shared" si="3"/>
        <v>0</v>
      </c>
    </row>
    <row r="232" spans="1:13" x14ac:dyDescent="0.3">
      <c r="A232" t="s">
        <v>422</v>
      </c>
      <c r="B232" s="1">
        <v>45729</v>
      </c>
      <c r="C232" t="s">
        <v>423</v>
      </c>
      <c r="D232" t="s">
        <v>14</v>
      </c>
      <c r="E232" t="s">
        <v>92</v>
      </c>
      <c r="F232" t="s">
        <v>16</v>
      </c>
      <c r="G232" t="s">
        <v>28</v>
      </c>
      <c r="H232">
        <v>4</v>
      </c>
      <c r="I232" s="12">
        <v>8.7100000000000009</v>
      </c>
      <c r="J232" s="12">
        <v>0.15</v>
      </c>
      <c r="K232" s="9">
        <v>29.61</v>
      </c>
      <c r="L232" s="9">
        <v>5.64</v>
      </c>
      <c r="M232" s="9">
        <f t="shared" si="3"/>
        <v>5.226</v>
      </c>
    </row>
    <row r="233" spans="1:13" x14ac:dyDescent="0.3">
      <c r="A233" t="s">
        <v>424</v>
      </c>
      <c r="B233" s="1">
        <v>45730</v>
      </c>
      <c r="C233" t="s">
        <v>39</v>
      </c>
      <c r="D233" t="s">
        <v>25</v>
      </c>
      <c r="E233" t="s">
        <v>51</v>
      </c>
      <c r="F233" t="s">
        <v>27</v>
      </c>
      <c r="G233" t="s">
        <v>17</v>
      </c>
      <c r="H233">
        <v>3</v>
      </c>
      <c r="I233" s="12">
        <v>995.31</v>
      </c>
      <c r="J233" s="12">
        <v>0.05</v>
      </c>
      <c r="K233" s="9">
        <v>2836.62</v>
      </c>
      <c r="L233" s="9">
        <v>695.46</v>
      </c>
      <c r="M233" s="9">
        <f t="shared" si="3"/>
        <v>149.29650000000001</v>
      </c>
    </row>
    <row r="234" spans="1:13" x14ac:dyDescent="0.3">
      <c r="A234" t="s">
        <v>425</v>
      </c>
      <c r="B234" s="1">
        <v>45731</v>
      </c>
      <c r="C234" t="s">
        <v>315</v>
      </c>
      <c r="D234" t="s">
        <v>40</v>
      </c>
      <c r="E234" t="s">
        <v>26</v>
      </c>
      <c r="F234" t="s">
        <v>27</v>
      </c>
      <c r="G234" t="s">
        <v>22</v>
      </c>
      <c r="H234">
        <v>1</v>
      </c>
      <c r="I234" s="12">
        <v>79.62</v>
      </c>
      <c r="J234" s="12">
        <v>0</v>
      </c>
      <c r="K234" s="9">
        <v>79.62</v>
      </c>
      <c r="L234" s="9">
        <v>9.18</v>
      </c>
      <c r="M234" s="9">
        <f t="shared" si="3"/>
        <v>0</v>
      </c>
    </row>
    <row r="235" spans="1:13" x14ac:dyDescent="0.3">
      <c r="A235" t="s">
        <v>426</v>
      </c>
      <c r="B235" s="1">
        <v>45731</v>
      </c>
      <c r="C235" t="s">
        <v>427</v>
      </c>
      <c r="D235" t="s">
        <v>40</v>
      </c>
      <c r="E235" t="s">
        <v>20</v>
      </c>
      <c r="F235" t="s">
        <v>21</v>
      </c>
      <c r="G235" t="s">
        <v>22</v>
      </c>
      <c r="H235">
        <v>1</v>
      </c>
      <c r="I235" s="12">
        <v>194.74</v>
      </c>
      <c r="J235" s="12">
        <v>0.15</v>
      </c>
      <c r="K235" s="9">
        <v>165.53</v>
      </c>
      <c r="L235" s="9">
        <v>35.32</v>
      </c>
      <c r="M235" s="9">
        <f t="shared" si="3"/>
        <v>29.210999999999999</v>
      </c>
    </row>
    <row r="236" spans="1:13" x14ac:dyDescent="0.3">
      <c r="A236" t="s">
        <v>428</v>
      </c>
      <c r="B236" s="1">
        <v>45732</v>
      </c>
      <c r="C236" t="s">
        <v>224</v>
      </c>
      <c r="D236" t="s">
        <v>40</v>
      </c>
      <c r="E236" t="s">
        <v>92</v>
      </c>
      <c r="F236" t="s">
        <v>16</v>
      </c>
      <c r="G236" t="s">
        <v>22</v>
      </c>
      <c r="H236">
        <v>1</v>
      </c>
      <c r="I236" s="12">
        <v>8.48</v>
      </c>
      <c r="J236" s="12">
        <v>0</v>
      </c>
      <c r="K236" s="9">
        <v>8.48</v>
      </c>
      <c r="L236" s="9">
        <v>1.17</v>
      </c>
      <c r="M236" s="9">
        <f t="shared" si="3"/>
        <v>0</v>
      </c>
    </row>
    <row r="237" spans="1:13" x14ac:dyDescent="0.3">
      <c r="A237" t="s">
        <v>429</v>
      </c>
      <c r="B237" s="1">
        <v>45732</v>
      </c>
      <c r="C237" t="s">
        <v>30</v>
      </c>
      <c r="D237" t="s">
        <v>14</v>
      </c>
      <c r="E237" t="s">
        <v>37</v>
      </c>
      <c r="F237" t="s">
        <v>27</v>
      </c>
      <c r="G237" t="s">
        <v>32</v>
      </c>
      <c r="H237">
        <v>4</v>
      </c>
      <c r="I237" s="12">
        <v>205.61</v>
      </c>
      <c r="J237" s="12">
        <v>0.05</v>
      </c>
      <c r="K237" s="9">
        <v>781.31</v>
      </c>
      <c r="L237" s="9">
        <v>104.73</v>
      </c>
      <c r="M237" s="9">
        <f t="shared" si="3"/>
        <v>41.122000000000007</v>
      </c>
    </row>
    <row r="238" spans="1:13" x14ac:dyDescent="0.3">
      <c r="A238" t="s">
        <v>430</v>
      </c>
      <c r="B238" s="1">
        <v>45732</v>
      </c>
      <c r="C238" t="s">
        <v>89</v>
      </c>
      <c r="D238" t="s">
        <v>25</v>
      </c>
      <c r="E238" t="s">
        <v>15</v>
      </c>
      <c r="F238" t="s">
        <v>16</v>
      </c>
      <c r="G238" t="s">
        <v>22</v>
      </c>
      <c r="H238">
        <v>1</v>
      </c>
      <c r="I238" s="12">
        <v>14.7</v>
      </c>
      <c r="J238" s="12">
        <v>0</v>
      </c>
      <c r="K238" s="9">
        <v>14.7</v>
      </c>
      <c r="L238" s="9">
        <v>3.55</v>
      </c>
      <c r="M238" s="9">
        <f t="shared" si="3"/>
        <v>0</v>
      </c>
    </row>
    <row r="239" spans="1:13" x14ac:dyDescent="0.3">
      <c r="A239" t="s">
        <v>431</v>
      </c>
      <c r="B239" s="1">
        <v>45732</v>
      </c>
      <c r="C239" t="s">
        <v>416</v>
      </c>
      <c r="D239" t="s">
        <v>14</v>
      </c>
      <c r="E239" t="s">
        <v>26</v>
      </c>
      <c r="F239" t="s">
        <v>27</v>
      </c>
      <c r="G239" t="s">
        <v>28</v>
      </c>
      <c r="H239">
        <v>2</v>
      </c>
      <c r="I239" s="12">
        <v>73.28</v>
      </c>
      <c r="J239" s="12">
        <v>0</v>
      </c>
      <c r="K239" s="9">
        <v>146.56</v>
      </c>
      <c r="L239" s="9">
        <v>30.58</v>
      </c>
      <c r="M239" s="9">
        <f t="shared" si="3"/>
        <v>0</v>
      </c>
    </row>
    <row r="240" spans="1:13" x14ac:dyDescent="0.3">
      <c r="A240" t="s">
        <v>432</v>
      </c>
      <c r="B240" s="1">
        <v>45732</v>
      </c>
      <c r="C240" t="s">
        <v>179</v>
      </c>
      <c r="D240" t="s">
        <v>25</v>
      </c>
      <c r="E240" t="s">
        <v>65</v>
      </c>
      <c r="F240" t="s">
        <v>16</v>
      </c>
      <c r="G240" t="s">
        <v>22</v>
      </c>
      <c r="H240">
        <v>3</v>
      </c>
      <c r="I240" s="12">
        <v>19.03</v>
      </c>
      <c r="J240" s="12">
        <v>0.2</v>
      </c>
      <c r="K240" s="9">
        <v>45.68</v>
      </c>
      <c r="L240" s="9">
        <v>8.14</v>
      </c>
      <c r="M240" s="9">
        <f t="shared" si="3"/>
        <v>11.418000000000001</v>
      </c>
    </row>
    <row r="241" spans="1:13" x14ac:dyDescent="0.3">
      <c r="A241" t="s">
        <v>433</v>
      </c>
      <c r="B241" s="1">
        <v>45733</v>
      </c>
      <c r="C241" t="s">
        <v>184</v>
      </c>
      <c r="D241" t="s">
        <v>14</v>
      </c>
      <c r="E241" t="s">
        <v>31</v>
      </c>
      <c r="F241" t="s">
        <v>21</v>
      </c>
      <c r="G241" t="s">
        <v>28</v>
      </c>
      <c r="H241">
        <v>3</v>
      </c>
      <c r="I241" s="12">
        <v>40.229999999999997</v>
      </c>
      <c r="J241" s="12">
        <v>0.15</v>
      </c>
      <c r="K241" s="9">
        <v>102.58</v>
      </c>
      <c r="L241" s="9">
        <v>25.32</v>
      </c>
      <c r="M241" s="9">
        <f t="shared" si="3"/>
        <v>18.1035</v>
      </c>
    </row>
    <row r="242" spans="1:13" x14ac:dyDescent="0.3">
      <c r="A242" t="s">
        <v>434</v>
      </c>
      <c r="B242" s="1">
        <v>45733</v>
      </c>
      <c r="C242" t="s">
        <v>30</v>
      </c>
      <c r="D242" t="s">
        <v>25</v>
      </c>
      <c r="E242" t="s">
        <v>41</v>
      </c>
      <c r="F242" t="s">
        <v>42</v>
      </c>
      <c r="G242" t="s">
        <v>17</v>
      </c>
      <c r="H242">
        <v>1</v>
      </c>
      <c r="I242" s="12">
        <v>55.04</v>
      </c>
      <c r="J242" s="12">
        <v>0.05</v>
      </c>
      <c r="K242" s="9">
        <v>52.29</v>
      </c>
      <c r="L242" s="9">
        <v>10.16</v>
      </c>
      <c r="M242" s="9">
        <f t="shared" si="3"/>
        <v>2.7520000000000002</v>
      </c>
    </row>
    <row r="243" spans="1:13" x14ac:dyDescent="0.3">
      <c r="A243" t="s">
        <v>435</v>
      </c>
      <c r="B243" s="1">
        <v>45734</v>
      </c>
      <c r="C243" t="s">
        <v>436</v>
      </c>
      <c r="D243" t="s">
        <v>14</v>
      </c>
      <c r="E243" t="s">
        <v>110</v>
      </c>
      <c r="F243" t="s">
        <v>42</v>
      </c>
      <c r="G243" t="s">
        <v>28</v>
      </c>
      <c r="H243">
        <v>2</v>
      </c>
      <c r="I243" s="12">
        <v>22.18</v>
      </c>
      <c r="J243" s="12">
        <v>0</v>
      </c>
      <c r="K243" s="9">
        <v>44.36</v>
      </c>
      <c r="L243" s="9">
        <v>4.92</v>
      </c>
      <c r="M243" s="9">
        <f t="shared" si="3"/>
        <v>0</v>
      </c>
    </row>
    <row r="244" spans="1:13" x14ac:dyDescent="0.3">
      <c r="A244" t="s">
        <v>437</v>
      </c>
      <c r="B244" s="1">
        <v>45734</v>
      </c>
      <c r="C244" t="s">
        <v>334</v>
      </c>
      <c r="D244" t="s">
        <v>25</v>
      </c>
      <c r="E244" t="s">
        <v>92</v>
      </c>
      <c r="F244" t="s">
        <v>16</v>
      </c>
      <c r="G244" t="s">
        <v>17</v>
      </c>
      <c r="H244">
        <v>2</v>
      </c>
      <c r="I244" s="12">
        <v>9.7799999999999994</v>
      </c>
      <c r="J244" s="12">
        <v>0.2</v>
      </c>
      <c r="K244" s="9">
        <v>15.65</v>
      </c>
      <c r="L244" s="9">
        <v>2.97</v>
      </c>
      <c r="M244" s="9">
        <f t="shared" si="3"/>
        <v>3.9119999999999999</v>
      </c>
    </row>
    <row r="245" spans="1:13" x14ac:dyDescent="0.3">
      <c r="A245" t="s">
        <v>438</v>
      </c>
      <c r="B245" s="1">
        <v>45734</v>
      </c>
      <c r="C245" t="s">
        <v>105</v>
      </c>
      <c r="D245" t="s">
        <v>14</v>
      </c>
      <c r="E245" t="s">
        <v>51</v>
      </c>
      <c r="F245" t="s">
        <v>27</v>
      </c>
      <c r="G245" t="s">
        <v>32</v>
      </c>
      <c r="H245">
        <v>1</v>
      </c>
      <c r="I245" s="12">
        <v>882.3</v>
      </c>
      <c r="J245" s="12">
        <v>0.1</v>
      </c>
      <c r="K245" s="9">
        <v>794.07</v>
      </c>
      <c r="L245" s="9">
        <v>134.49</v>
      </c>
      <c r="M245" s="9">
        <f t="shared" si="3"/>
        <v>88.23</v>
      </c>
    </row>
    <row r="246" spans="1:13" x14ac:dyDescent="0.3">
      <c r="A246" t="s">
        <v>439</v>
      </c>
      <c r="B246" s="1">
        <v>45735</v>
      </c>
      <c r="C246" t="s">
        <v>440</v>
      </c>
      <c r="D246" t="s">
        <v>14</v>
      </c>
      <c r="E246" t="s">
        <v>15</v>
      </c>
      <c r="F246" t="s">
        <v>16</v>
      </c>
      <c r="G246" t="s">
        <v>22</v>
      </c>
      <c r="H246">
        <v>1</v>
      </c>
      <c r="I246" s="12">
        <v>14.52</v>
      </c>
      <c r="J246" s="12">
        <v>0</v>
      </c>
      <c r="K246" s="9">
        <v>14.52</v>
      </c>
      <c r="L246" s="9">
        <v>3.61</v>
      </c>
      <c r="M246" s="9">
        <f t="shared" si="3"/>
        <v>0</v>
      </c>
    </row>
    <row r="247" spans="1:13" x14ac:dyDescent="0.3">
      <c r="A247" t="s">
        <v>441</v>
      </c>
      <c r="B247" s="1">
        <v>45735</v>
      </c>
      <c r="C247" t="s">
        <v>442</v>
      </c>
      <c r="D247" t="s">
        <v>14</v>
      </c>
      <c r="E247" t="s">
        <v>26</v>
      </c>
      <c r="F247" t="s">
        <v>27</v>
      </c>
      <c r="G247" t="s">
        <v>17</v>
      </c>
      <c r="H247">
        <v>1</v>
      </c>
      <c r="I247" s="12">
        <v>78.45</v>
      </c>
      <c r="J247" s="12">
        <v>0.05</v>
      </c>
      <c r="K247" s="9">
        <v>74.53</v>
      </c>
      <c r="L247" s="9">
        <v>11.18</v>
      </c>
      <c r="M247" s="9">
        <f t="shared" si="3"/>
        <v>3.9225000000000003</v>
      </c>
    </row>
    <row r="248" spans="1:13" x14ac:dyDescent="0.3">
      <c r="A248" t="s">
        <v>443</v>
      </c>
      <c r="B248" s="1">
        <v>45735</v>
      </c>
      <c r="C248" t="s">
        <v>248</v>
      </c>
      <c r="D248" t="s">
        <v>14</v>
      </c>
      <c r="E248" t="s">
        <v>110</v>
      </c>
      <c r="F248" t="s">
        <v>42</v>
      </c>
      <c r="G248" t="s">
        <v>28</v>
      </c>
      <c r="H248">
        <v>1</v>
      </c>
      <c r="I248" s="12">
        <v>23.17</v>
      </c>
      <c r="J248" s="12">
        <v>0.1</v>
      </c>
      <c r="K248" s="9">
        <v>20.85</v>
      </c>
      <c r="L248" s="9">
        <v>5.17</v>
      </c>
      <c r="M248" s="9">
        <f t="shared" si="3"/>
        <v>2.3170000000000002</v>
      </c>
    </row>
    <row r="249" spans="1:13" x14ac:dyDescent="0.3">
      <c r="A249" t="s">
        <v>444</v>
      </c>
      <c r="B249" s="1">
        <v>45735</v>
      </c>
      <c r="C249" t="s">
        <v>445</v>
      </c>
      <c r="D249" t="s">
        <v>40</v>
      </c>
      <c r="E249" t="s">
        <v>41</v>
      </c>
      <c r="F249" t="s">
        <v>42</v>
      </c>
      <c r="G249" t="s">
        <v>17</v>
      </c>
      <c r="H249">
        <v>2</v>
      </c>
      <c r="I249" s="12">
        <v>53.48</v>
      </c>
      <c r="J249" s="12">
        <v>0</v>
      </c>
      <c r="K249" s="9">
        <v>106.97</v>
      </c>
      <c r="L249" s="9">
        <v>15.71</v>
      </c>
      <c r="M249" s="9">
        <f t="shared" si="3"/>
        <v>0</v>
      </c>
    </row>
    <row r="250" spans="1:13" x14ac:dyDescent="0.3">
      <c r="A250" t="s">
        <v>446</v>
      </c>
      <c r="B250" s="1">
        <v>45735</v>
      </c>
      <c r="C250" t="s">
        <v>355</v>
      </c>
      <c r="D250" t="s">
        <v>25</v>
      </c>
      <c r="E250" t="s">
        <v>51</v>
      </c>
      <c r="F250" t="s">
        <v>27</v>
      </c>
      <c r="G250" t="s">
        <v>28</v>
      </c>
      <c r="H250">
        <v>1</v>
      </c>
      <c r="I250" s="12">
        <v>912.13</v>
      </c>
      <c r="J250" s="12">
        <v>0.1</v>
      </c>
      <c r="K250" s="9">
        <v>820.92</v>
      </c>
      <c r="L250" s="9">
        <v>140.21</v>
      </c>
      <c r="M250" s="9">
        <f t="shared" si="3"/>
        <v>91.213000000000008</v>
      </c>
    </row>
    <row r="251" spans="1:13" x14ac:dyDescent="0.3">
      <c r="A251" t="s">
        <v>447</v>
      </c>
      <c r="B251" s="1">
        <v>45736</v>
      </c>
      <c r="C251" t="s">
        <v>261</v>
      </c>
      <c r="D251" t="s">
        <v>14</v>
      </c>
      <c r="E251" t="s">
        <v>15</v>
      </c>
      <c r="F251" t="s">
        <v>16</v>
      </c>
      <c r="G251" t="s">
        <v>28</v>
      </c>
      <c r="H251">
        <v>2</v>
      </c>
      <c r="I251" s="12">
        <v>13.79</v>
      </c>
      <c r="J251" s="12">
        <v>0</v>
      </c>
      <c r="K251" s="9">
        <v>27.59</v>
      </c>
      <c r="L251" s="9">
        <v>6.8</v>
      </c>
      <c r="M251" s="9">
        <f t="shared" si="3"/>
        <v>0</v>
      </c>
    </row>
    <row r="252" spans="1:13" x14ac:dyDescent="0.3">
      <c r="A252" t="s">
        <v>448</v>
      </c>
      <c r="B252" s="1">
        <v>45736</v>
      </c>
      <c r="C252" t="s">
        <v>449</v>
      </c>
      <c r="D252" t="s">
        <v>40</v>
      </c>
      <c r="E252" t="s">
        <v>92</v>
      </c>
      <c r="F252" t="s">
        <v>16</v>
      </c>
      <c r="G252" t="s">
        <v>32</v>
      </c>
      <c r="H252">
        <v>2</v>
      </c>
      <c r="I252" s="12">
        <v>8.1300000000000008</v>
      </c>
      <c r="J252" s="12">
        <v>0</v>
      </c>
      <c r="K252" s="9">
        <v>16.260000000000002</v>
      </c>
      <c r="L252" s="9">
        <v>2.66</v>
      </c>
      <c r="M252" s="9">
        <f t="shared" si="3"/>
        <v>0</v>
      </c>
    </row>
    <row r="253" spans="1:13" x14ac:dyDescent="0.3">
      <c r="A253" t="s">
        <v>450</v>
      </c>
      <c r="B253" s="1">
        <v>45736</v>
      </c>
      <c r="C253" t="s">
        <v>256</v>
      </c>
      <c r="D253" t="s">
        <v>25</v>
      </c>
      <c r="E253" t="s">
        <v>26</v>
      </c>
      <c r="F253" t="s">
        <v>27</v>
      </c>
      <c r="G253" t="s">
        <v>22</v>
      </c>
      <c r="H253">
        <v>1</v>
      </c>
      <c r="I253" s="12">
        <v>75.099999999999994</v>
      </c>
      <c r="J253" s="12">
        <v>0</v>
      </c>
      <c r="K253" s="9">
        <v>75.099999999999994</v>
      </c>
      <c r="L253" s="9">
        <v>7.3</v>
      </c>
      <c r="M253" s="9">
        <f t="shared" si="3"/>
        <v>0</v>
      </c>
    </row>
    <row r="254" spans="1:13" x14ac:dyDescent="0.3">
      <c r="A254" t="s">
        <v>451</v>
      </c>
      <c r="B254" s="1">
        <v>45737</v>
      </c>
      <c r="C254" t="s">
        <v>452</v>
      </c>
      <c r="D254" t="s">
        <v>14</v>
      </c>
      <c r="E254" t="s">
        <v>31</v>
      </c>
      <c r="F254" t="s">
        <v>21</v>
      </c>
      <c r="G254" t="s">
        <v>28</v>
      </c>
      <c r="H254">
        <v>2</v>
      </c>
      <c r="I254" s="12">
        <v>42.72</v>
      </c>
      <c r="J254" s="12">
        <v>0.1</v>
      </c>
      <c r="K254" s="9">
        <v>76.900000000000006</v>
      </c>
      <c r="L254" s="9">
        <v>9.83</v>
      </c>
      <c r="M254" s="9">
        <f t="shared" si="3"/>
        <v>8.5440000000000005</v>
      </c>
    </row>
    <row r="255" spans="1:13" x14ac:dyDescent="0.3">
      <c r="A255" t="s">
        <v>453</v>
      </c>
      <c r="B255" s="1">
        <v>45737</v>
      </c>
      <c r="C255" t="s">
        <v>248</v>
      </c>
      <c r="D255" t="s">
        <v>25</v>
      </c>
      <c r="E255" t="s">
        <v>56</v>
      </c>
      <c r="F255" t="s">
        <v>21</v>
      </c>
      <c r="G255" t="s">
        <v>28</v>
      </c>
      <c r="H255">
        <v>1</v>
      </c>
      <c r="I255" s="12">
        <v>301.98</v>
      </c>
      <c r="J255" s="12">
        <v>0.1</v>
      </c>
      <c r="K255" s="9">
        <v>271.77999999999997</v>
      </c>
      <c r="L255" s="9">
        <v>25.82</v>
      </c>
      <c r="M255" s="9">
        <f t="shared" si="3"/>
        <v>30.198000000000004</v>
      </c>
    </row>
    <row r="256" spans="1:13" x14ac:dyDescent="0.3">
      <c r="A256" t="s">
        <v>454</v>
      </c>
      <c r="B256" s="1">
        <v>45737</v>
      </c>
      <c r="C256" t="s">
        <v>164</v>
      </c>
      <c r="D256" t="s">
        <v>14</v>
      </c>
      <c r="E256" t="s">
        <v>65</v>
      </c>
      <c r="F256" t="s">
        <v>16</v>
      </c>
      <c r="G256" t="s">
        <v>17</v>
      </c>
      <c r="H256">
        <v>2</v>
      </c>
      <c r="I256" s="12">
        <v>18.84</v>
      </c>
      <c r="J256" s="12">
        <v>0.05</v>
      </c>
      <c r="K256" s="9">
        <v>35.799999999999997</v>
      </c>
      <c r="L256" s="9">
        <v>8.4600000000000009</v>
      </c>
      <c r="M256" s="9">
        <f t="shared" si="3"/>
        <v>1.8840000000000001</v>
      </c>
    </row>
    <row r="257" spans="1:13" x14ac:dyDescent="0.3">
      <c r="A257" t="s">
        <v>455</v>
      </c>
      <c r="B257" s="1">
        <v>45737</v>
      </c>
      <c r="C257" t="s">
        <v>87</v>
      </c>
      <c r="D257" t="s">
        <v>40</v>
      </c>
      <c r="E257" t="s">
        <v>56</v>
      </c>
      <c r="F257" t="s">
        <v>21</v>
      </c>
      <c r="G257" t="s">
        <v>22</v>
      </c>
      <c r="H257">
        <v>2</v>
      </c>
      <c r="I257" s="12">
        <v>318.55</v>
      </c>
      <c r="J257" s="12">
        <v>0</v>
      </c>
      <c r="K257" s="9">
        <v>637.09</v>
      </c>
      <c r="L257" s="9">
        <v>116.93</v>
      </c>
      <c r="M257" s="9">
        <f t="shared" si="3"/>
        <v>0</v>
      </c>
    </row>
    <row r="258" spans="1:13" x14ac:dyDescent="0.3">
      <c r="A258" t="s">
        <v>456</v>
      </c>
      <c r="B258" s="1">
        <v>45738</v>
      </c>
      <c r="C258" t="s">
        <v>457</v>
      </c>
      <c r="D258" t="s">
        <v>25</v>
      </c>
      <c r="E258" t="s">
        <v>20</v>
      </c>
      <c r="F258" t="s">
        <v>21</v>
      </c>
      <c r="G258" t="s">
        <v>32</v>
      </c>
      <c r="H258">
        <v>1</v>
      </c>
      <c r="I258" s="12">
        <v>181.97</v>
      </c>
      <c r="J258" s="12">
        <v>0.15</v>
      </c>
      <c r="K258" s="9">
        <v>154.66999999999999</v>
      </c>
      <c r="L258" s="9">
        <v>33.56</v>
      </c>
      <c r="M258" s="9">
        <f t="shared" si="3"/>
        <v>27.295500000000001</v>
      </c>
    </row>
    <row r="259" spans="1:13" x14ac:dyDescent="0.3">
      <c r="A259" t="s">
        <v>458</v>
      </c>
      <c r="B259" s="1">
        <v>45738</v>
      </c>
      <c r="C259" t="s">
        <v>203</v>
      </c>
      <c r="D259" t="s">
        <v>40</v>
      </c>
      <c r="E259" t="s">
        <v>37</v>
      </c>
      <c r="F259" t="s">
        <v>27</v>
      </c>
      <c r="G259" t="s">
        <v>32</v>
      </c>
      <c r="H259">
        <v>2</v>
      </c>
      <c r="I259" s="12">
        <v>212.84</v>
      </c>
      <c r="J259" s="12">
        <v>0</v>
      </c>
      <c r="K259" s="9">
        <v>425.69</v>
      </c>
      <c r="L259" s="9">
        <v>36.72</v>
      </c>
      <c r="M259" s="9">
        <f t="shared" ref="M259:M322" si="4">H259*I259*J259</f>
        <v>0</v>
      </c>
    </row>
    <row r="260" spans="1:13" x14ac:dyDescent="0.3">
      <c r="A260" t="s">
        <v>459</v>
      </c>
      <c r="B260" s="1">
        <v>45738</v>
      </c>
      <c r="C260" t="s">
        <v>187</v>
      </c>
      <c r="D260" t="s">
        <v>14</v>
      </c>
      <c r="E260" t="s">
        <v>92</v>
      </c>
      <c r="F260" t="s">
        <v>16</v>
      </c>
      <c r="G260" t="s">
        <v>22</v>
      </c>
      <c r="H260">
        <v>3</v>
      </c>
      <c r="I260" s="12">
        <v>8.85</v>
      </c>
      <c r="J260" s="12">
        <v>0.15</v>
      </c>
      <c r="K260" s="9">
        <v>22.56</v>
      </c>
      <c r="L260" s="9">
        <v>4.66</v>
      </c>
      <c r="M260" s="9">
        <f t="shared" si="4"/>
        <v>3.9824999999999995</v>
      </c>
    </row>
    <row r="261" spans="1:13" x14ac:dyDescent="0.3">
      <c r="A261" t="s">
        <v>460</v>
      </c>
      <c r="B261" s="1">
        <v>45738</v>
      </c>
      <c r="C261" t="s">
        <v>94</v>
      </c>
      <c r="D261" t="s">
        <v>14</v>
      </c>
      <c r="E261" t="s">
        <v>41</v>
      </c>
      <c r="F261" t="s">
        <v>42</v>
      </c>
      <c r="G261" t="s">
        <v>32</v>
      </c>
      <c r="H261">
        <v>2</v>
      </c>
      <c r="I261" s="12">
        <v>50.78</v>
      </c>
      <c r="J261" s="12">
        <v>0.05</v>
      </c>
      <c r="K261" s="9">
        <v>96.49</v>
      </c>
      <c r="L261" s="9">
        <v>14.07</v>
      </c>
      <c r="M261" s="9">
        <f t="shared" si="4"/>
        <v>5.0780000000000003</v>
      </c>
    </row>
    <row r="262" spans="1:13" x14ac:dyDescent="0.3">
      <c r="A262" t="s">
        <v>461</v>
      </c>
      <c r="B262" s="1">
        <v>45738</v>
      </c>
      <c r="C262" t="s">
        <v>462</v>
      </c>
      <c r="D262" t="s">
        <v>14</v>
      </c>
      <c r="E262" t="s">
        <v>54</v>
      </c>
      <c r="F262" t="s">
        <v>27</v>
      </c>
      <c r="G262" t="s">
        <v>22</v>
      </c>
      <c r="H262">
        <v>2</v>
      </c>
      <c r="I262" s="12">
        <v>28.95</v>
      </c>
      <c r="J262" s="12">
        <v>0</v>
      </c>
      <c r="K262" s="9">
        <v>57.9</v>
      </c>
      <c r="L262" s="9">
        <v>7.13</v>
      </c>
      <c r="M262" s="9">
        <f t="shared" si="4"/>
        <v>0</v>
      </c>
    </row>
    <row r="263" spans="1:13" x14ac:dyDescent="0.3">
      <c r="A263" t="s">
        <v>463</v>
      </c>
      <c r="B263" s="1">
        <v>45738</v>
      </c>
      <c r="C263" t="s">
        <v>19</v>
      </c>
      <c r="D263" t="s">
        <v>40</v>
      </c>
      <c r="E263" t="s">
        <v>110</v>
      </c>
      <c r="F263" t="s">
        <v>42</v>
      </c>
      <c r="G263" t="s">
        <v>28</v>
      </c>
      <c r="H263">
        <v>4</v>
      </c>
      <c r="I263" s="12">
        <v>23.48</v>
      </c>
      <c r="J263" s="12">
        <v>0.1</v>
      </c>
      <c r="K263" s="9">
        <v>84.51</v>
      </c>
      <c r="L263" s="9">
        <v>18.27</v>
      </c>
      <c r="M263" s="9">
        <f t="shared" si="4"/>
        <v>9.3920000000000012</v>
      </c>
    </row>
    <row r="264" spans="1:13" x14ac:dyDescent="0.3">
      <c r="A264" t="s">
        <v>464</v>
      </c>
      <c r="B264" s="1">
        <v>45739</v>
      </c>
      <c r="C264" t="s">
        <v>162</v>
      </c>
      <c r="D264" t="s">
        <v>14</v>
      </c>
      <c r="E264" t="s">
        <v>20</v>
      </c>
      <c r="F264" t="s">
        <v>21</v>
      </c>
      <c r="G264" t="s">
        <v>22</v>
      </c>
      <c r="H264">
        <v>2</v>
      </c>
      <c r="I264" s="12">
        <v>196.99</v>
      </c>
      <c r="J264" s="12">
        <v>0.05</v>
      </c>
      <c r="K264" s="9">
        <v>374.29</v>
      </c>
      <c r="L264" s="9">
        <v>71.709999999999994</v>
      </c>
      <c r="M264" s="9">
        <f t="shared" si="4"/>
        <v>19.699000000000002</v>
      </c>
    </row>
    <row r="265" spans="1:13" x14ac:dyDescent="0.3">
      <c r="A265" t="s">
        <v>465</v>
      </c>
      <c r="B265" s="1">
        <v>45740</v>
      </c>
      <c r="C265" t="s">
        <v>466</v>
      </c>
      <c r="D265" t="s">
        <v>14</v>
      </c>
      <c r="E265" t="s">
        <v>56</v>
      </c>
      <c r="F265" t="s">
        <v>21</v>
      </c>
      <c r="G265" t="s">
        <v>28</v>
      </c>
      <c r="H265">
        <v>2</v>
      </c>
      <c r="I265" s="12">
        <v>329.88</v>
      </c>
      <c r="J265" s="12">
        <v>0</v>
      </c>
      <c r="K265" s="9">
        <v>659.76</v>
      </c>
      <c r="L265" s="9">
        <v>113.17</v>
      </c>
      <c r="M265" s="9">
        <f t="shared" si="4"/>
        <v>0</v>
      </c>
    </row>
    <row r="266" spans="1:13" x14ac:dyDescent="0.3">
      <c r="A266" t="s">
        <v>467</v>
      </c>
      <c r="B266" s="1">
        <v>45740</v>
      </c>
      <c r="C266" t="s">
        <v>48</v>
      </c>
      <c r="D266" t="s">
        <v>40</v>
      </c>
      <c r="E266" t="s">
        <v>65</v>
      </c>
      <c r="F266" t="s">
        <v>16</v>
      </c>
      <c r="G266" t="s">
        <v>17</v>
      </c>
      <c r="H266">
        <v>1</v>
      </c>
      <c r="I266" s="12">
        <v>16.22</v>
      </c>
      <c r="J266" s="12">
        <v>0.15</v>
      </c>
      <c r="K266" s="9">
        <v>13.79</v>
      </c>
      <c r="L266" s="9">
        <v>2.73</v>
      </c>
      <c r="M266" s="9">
        <f t="shared" si="4"/>
        <v>2.4329999999999998</v>
      </c>
    </row>
    <row r="267" spans="1:13" x14ac:dyDescent="0.3">
      <c r="A267" t="s">
        <v>468</v>
      </c>
      <c r="B267" s="1">
        <v>45740</v>
      </c>
      <c r="C267" t="s">
        <v>101</v>
      </c>
      <c r="D267" t="s">
        <v>14</v>
      </c>
      <c r="E267" t="s">
        <v>56</v>
      </c>
      <c r="F267" t="s">
        <v>21</v>
      </c>
      <c r="G267" t="s">
        <v>22</v>
      </c>
      <c r="H267">
        <v>2</v>
      </c>
      <c r="I267" s="12">
        <v>354.81</v>
      </c>
      <c r="J267" s="12">
        <v>0.05</v>
      </c>
      <c r="K267" s="9">
        <v>674.14</v>
      </c>
      <c r="L267" s="9">
        <v>168.44</v>
      </c>
      <c r="M267" s="9">
        <f t="shared" si="4"/>
        <v>35.481000000000002</v>
      </c>
    </row>
    <row r="268" spans="1:13" x14ac:dyDescent="0.3">
      <c r="A268" t="s">
        <v>469</v>
      </c>
      <c r="B268" s="1">
        <v>45741</v>
      </c>
      <c r="C268" t="s">
        <v>380</v>
      </c>
      <c r="D268" t="s">
        <v>14</v>
      </c>
      <c r="E268" t="s">
        <v>56</v>
      </c>
      <c r="F268" t="s">
        <v>21</v>
      </c>
      <c r="G268" t="s">
        <v>22</v>
      </c>
      <c r="H268">
        <v>3</v>
      </c>
      <c r="I268" s="12">
        <v>336.67</v>
      </c>
      <c r="J268" s="12">
        <v>0.1</v>
      </c>
      <c r="K268" s="9">
        <v>909.02</v>
      </c>
      <c r="L268" s="9">
        <v>234.7</v>
      </c>
      <c r="M268" s="9">
        <f t="shared" si="4"/>
        <v>101.001</v>
      </c>
    </row>
    <row r="269" spans="1:13" x14ac:dyDescent="0.3">
      <c r="A269" t="s">
        <v>470</v>
      </c>
      <c r="B269" s="1">
        <v>45741</v>
      </c>
      <c r="C269" t="s">
        <v>348</v>
      </c>
      <c r="D269" t="s">
        <v>40</v>
      </c>
      <c r="E269" t="s">
        <v>31</v>
      </c>
      <c r="F269" t="s">
        <v>21</v>
      </c>
      <c r="G269" t="s">
        <v>32</v>
      </c>
      <c r="H269">
        <v>4</v>
      </c>
      <c r="I269" s="12">
        <v>39.380000000000003</v>
      </c>
      <c r="J269" s="12">
        <v>0.1</v>
      </c>
      <c r="K269" s="9">
        <v>141.77000000000001</v>
      </c>
      <c r="L269" s="9">
        <v>16.29</v>
      </c>
      <c r="M269" s="9">
        <f t="shared" si="4"/>
        <v>15.752000000000002</v>
      </c>
    </row>
    <row r="270" spans="1:13" x14ac:dyDescent="0.3">
      <c r="A270" t="s">
        <v>471</v>
      </c>
      <c r="B270" s="1">
        <v>45741</v>
      </c>
      <c r="C270" t="s">
        <v>287</v>
      </c>
      <c r="D270" t="s">
        <v>14</v>
      </c>
      <c r="E270" t="s">
        <v>26</v>
      </c>
      <c r="F270" t="s">
        <v>27</v>
      </c>
      <c r="G270" t="s">
        <v>32</v>
      </c>
      <c r="H270">
        <v>1</v>
      </c>
      <c r="I270" s="12">
        <v>79.88</v>
      </c>
      <c r="J270" s="12">
        <v>0.05</v>
      </c>
      <c r="K270" s="9">
        <v>75.88</v>
      </c>
      <c r="L270" s="9">
        <v>18.260000000000002</v>
      </c>
      <c r="M270" s="9">
        <f t="shared" si="4"/>
        <v>3.9939999999999998</v>
      </c>
    </row>
    <row r="271" spans="1:13" x14ac:dyDescent="0.3">
      <c r="A271" t="s">
        <v>472</v>
      </c>
      <c r="B271" s="1">
        <v>45741</v>
      </c>
      <c r="C271" t="s">
        <v>264</v>
      </c>
      <c r="D271" t="s">
        <v>25</v>
      </c>
      <c r="E271" t="s">
        <v>92</v>
      </c>
      <c r="F271" t="s">
        <v>16</v>
      </c>
      <c r="G271" t="s">
        <v>17</v>
      </c>
      <c r="H271">
        <v>2</v>
      </c>
      <c r="I271" s="12">
        <v>9.73</v>
      </c>
      <c r="J271" s="12">
        <v>0</v>
      </c>
      <c r="K271" s="9">
        <v>19.46</v>
      </c>
      <c r="L271" s="9">
        <v>1.91</v>
      </c>
      <c r="M271" s="9">
        <f t="shared" si="4"/>
        <v>0</v>
      </c>
    </row>
    <row r="272" spans="1:13" x14ac:dyDescent="0.3">
      <c r="A272" t="s">
        <v>473</v>
      </c>
      <c r="B272" s="1">
        <v>45741</v>
      </c>
      <c r="C272" t="s">
        <v>302</v>
      </c>
      <c r="D272" t="s">
        <v>14</v>
      </c>
      <c r="E272" t="s">
        <v>51</v>
      </c>
      <c r="F272" t="s">
        <v>27</v>
      </c>
      <c r="G272" t="s">
        <v>32</v>
      </c>
      <c r="H272">
        <v>2</v>
      </c>
      <c r="I272" s="12">
        <v>1006.2</v>
      </c>
      <c r="J272" s="12">
        <v>0.1</v>
      </c>
      <c r="K272" s="9">
        <v>1811.16</v>
      </c>
      <c r="L272" s="9">
        <v>240.79</v>
      </c>
      <c r="M272" s="9">
        <f t="shared" si="4"/>
        <v>201.24</v>
      </c>
    </row>
    <row r="273" spans="1:13" x14ac:dyDescent="0.3">
      <c r="A273" t="s">
        <v>474</v>
      </c>
      <c r="B273" s="1">
        <v>45741</v>
      </c>
      <c r="C273" t="s">
        <v>264</v>
      </c>
      <c r="D273" t="s">
        <v>14</v>
      </c>
      <c r="E273" t="s">
        <v>54</v>
      </c>
      <c r="F273" t="s">
        <v>27</v>
      </c>
      <c r="G273" t="s">
        <v>28</v>
      </c>
      <c r="H273">
        <v>2</v>
      </c>
      <c r="I273" s="12">
        <v>26.36</v>
      </c>
      <c r="J273" s="12">
        <v>0.1</v>
      </c>
      <c r="K273" s="9">
        <v>47.45</v>
      </c>
      <c r="L273" s="9">
        <v>11.08</v>
      </c>
      <c r="M273" s="9">
        <f t="shared" si="4"/>
        <v>5.2720000000000002</v>
      </c>
    </row>
    <row r="274" spans="1:13" x14ac:dyDescent="0.3">
      <c r="A274" t="s">
        <v>475</v>
      </c>
      <c r="B274" s="1">
        <v>45742</v>
      </c>
      <c r="C274" t="s">
        <v>170</v>
      </c>
      <c r="D274" t="s">
        <v>25</v>
      </c>
      <c r="E274" t="s">
        <v>31</v>
      </c>
      <c r="F274" t="s">
        <v>21</v>
      </c>
      <c r="G274" t="s">
        <v>32</v>
      </c>
      <c r="H274">
        <v>1</v>
      </c>
      <c r="I274" s="12">
        <v>37.92</v>
      </c>
      <c r="J274" s="12">
        <v>0.05</v>
      </c>
      <c r="K274" s="9">
        <v>36.020000000000003</v>
      </c>
      <c r="L274" s="9">
        <v>6.05</v>
      </c>
      <c r="M274" s="9">
        <f t="shared" si="4"/>
        <v>1.8960000000000001</v>
      </c>
    </row>
    <row r="275" spans="1:13" x14ac:dyDescent="0.3">
      <c r="A275" t="s">
        <v>476</v>
      </c>
      <c r="B275" s="1">
        <v>45742</v>
      </c>
      <c r="C275" t="s">
        <v>477</v>
      </c>
      <c r="D275" t="s">
        <v>14</v>
      </c>
      <c r="E275" t="s">
        <v>54</v>
      </c>
      <c r="F275" t="s">
        <v>27</v>
      </c>
      <c r="G275" t="s">
        <v>28</v>
      </c>
      <c r="H275">
        <v>3</v>
      </c>
      <c r="I275" s="12">
        <v>25.44</v>
      </c>
      <c r="J275" s="12">
        <v>0.15</v>
      </c>
      <c r="K275" s="9">
        <v>64.88</v>
      </c>
      <c r="L275" s="9">
        <v>9.93</v>
      </c>
      <c r="M275" s="9">
        <f t="shared" si="4"/>
        <v>11.448</v>
      </c>
    </row>
    <row r="276" spans="1:13" x14ac:dyDescent="0.3">
      <c r="A276" t="s">
        <v>478</v>
      </c>
      <c r="B276" s="1">
        <v>45742</v>
      </c>
      <c r="C276" t="s">
        <v>479</v>
      </c>
      <c r="D276" t="s">
        <v>25</v>
      </c>
      <c r="E276" t="s">
        <v>31</v>
      </c>
      <c r="F276" t="s">
        <v>21</v>
      </c>
      <c r="G276" t="s">
        <v>32</v>
      </c>
      <c r="H276">
        <v>3</v>
      </c>
      <c r="I276" s="12">
        <v>45.15</v>
      </c>
      <c r="J276" s="12">
        <v>0</v>
      </c>
      <c r="K276" s="9">
        <v>135.44999999999999</v>
      </c>
      <c r="L276" s="9">
        <v>31.74</v>
      </c>
      <c r="M276" s="9">
        <f t="shared" si="4"/>
        <v>0</v>
      </c>
    </row>
    <row r="277" spans="1:13" x14ac:dyDescent="0.3">
      <c r="A277" t="s">
        <v>480</v>
      </c>
      <c r="B277" s="1">
        <v>45742</v>
      </c>
      <c r="C277" t="s">
        <v>481</v>
      </c>
      <c r="D277" t="s">
        <v>14</v>
      </c>
      <c r="E277" t="s">
        <v>56</v>
      </c>
      <c r="F277" t="s">
        <v>21</v>
      </c>
      <c r="G277" t="s">
        <v>17</v>
      </c>
      <c r="H277">
        <v>1</v>
      </c>
      <c r="I277" s="12">
        <v>301.52</v>
      </c>
      <c r="J277" s="12">
        <v>0.05</v>
      </c>
      <c r="K277" s="9">
        <v>286.45</v>
      </c>
      <c r="L277" s="9">
        <v>49.05</v>
      </c>
      <c r="M277" s="9">
        <f t="shared" si="4"/>
        <v>15.076000000000001</v>
      </c>
    </row>
    <row r="278" spans="1:13" x14ac:dyDescent="0.3">
      <c r="A278" t="s">
        <v>482</v>
      </c>
      <c r="B278" s="1">
        <v>45742</v>
      </c>
      <c r="C278" t="s">
        <v>212</v>
      </c>
      <c r="D278" t="s">
        <v>40</v>
      </c>
      <c r="E278" t="s">
        <v>26</v>
      </c>
      <c r="F278" t="s">
        <v>27</v>
      </c>
      <c r="G278" t="s">
        <v>32</v>
      </c>
      <c r="H278">
        <v>2</v>
      </c>
      <c r="I278" s="12">
        <v>75.87</v>
      </c>
      <c r="J278" s="12">
        <v>0.15</v>
      </c>
      <c r="K278" s="9">
        <v>128.97999999999999</v>
      </c>
      <c r="L278" s="9">
        <v>32.03</v>
      </c>
      <c r="M278" s="9">
        <f t="shared" si="4"/>
        <v>22.760999999999999</v>
      </c>
    </row>
    <row r="279" spans="1:13" x14ac:dyDescent="0.3">
      <c r="A279" t="s">
        <v>483</v>
      </c>
      <c r="B279" s="1">
        <v>45743</v>
      </c>
      <c r="C279" t="s">
        <v>484</v>
      </c>
      <c r="D279" t="s">
        <v>14</v>
      </c>
      <c r="E279" t="s">
        <v>20</v>
      </c>
      <c r="F279" t="s">
        <v>21</v>
      </c>
      <c r="G279" t="s">
        <v>32</v>
      </c>
      <c r="H279">
        <v>1</v>
      </c>
      <c r="I279" s="12">
        <v>171.17</v>
      </c>
      <c r="J279" s="12">
        <v>0.05</v>
      </c>
      <c r="K279" s="9">
        <v>162.61000000000001</v>
      </c>
      <c r="L279" s="9">
        <v>27.19</v>
      </c>
      <c r="M279" s="9">
        <f t="shared" si="4"/>
        <v>8.5585000000000004</v>
      </c>
    </row>
    <row r="280" spans="1:13" x14ac:dyDescent="0.3">
      <c r="A280" t="s">
        <v>485</v>
      </c>
      <c r="B280" s="1">
        <v>45743</v>
      </c>
      <c r="C280" t="s">
        <v>228</v>
      </c>
      <c r="D280" t="s">
        <v>25</v>
      </c>
      <c r="E280" t="s">
        <v>56</v>
      </c>
      <c r="F280" t="s">
        <v>21</v>
      </c>
      <c r="G280" t="s">
        <v>32</v>
      </c>
      <c r="H280">
        <v>3</v>
      </c>
      <c r="I280" s="12">
        <v>305.75</v>
      </c>
      <c r="J280" s="12">
        <v>0</v>
      </c>
      <c r="K280" s="9">
        <v>917.26</v>
      </c>
      <c r="L280" s="9">
        <v>167.24</v>
      </c>
      <c r="M280" s="9">
        <f t="shared" si="4"/>
        <v>0</v>
      </c>
    </row>
    <row r="281" spans="1:13" x14ac:dyDescent="0.3">
      <c r="A281" t="s">
        <v>486</v>
      </c>
      <c r="B281" s="1">
        <v>45744</v>
      </c>
      <c r="C281" t="s">
        <v>315</v>
      </c>
      <c r="D281" t="s">
        <v>25</v>
      </c>
      <c r="E281" t="s">
        <v>41</v>
      </c>
      <c r="F281" t="s">
        <v>42</v>
      </c>
      <c r="G281" t="s">
        <v>32</v>
      </c>
      <c r="H281">
        <v>3</v>
      </c>
      <c r="I281" s="12">
        <v>50.6</v>
      </c>
      <c r="J281" s="12">
        <v>0.1</v>
      </c>
      <c r="K281" s="9">
        <v>136.63</v>
      </c>
      <c r="L281" s="9">
        <v>27.1</v>
      </c>
      <c r="M281" s="9">
        <f t="shared" si="4"/>
        <v>15.180000000000001</v>
      </c>
    </row>
    <row r="282" spans="1:13" x14ac:dyDescent="0.3">
      <c r="A282" t="s">
        <v>487</v>
      </c>
      <c r="B282" s="1">
        <v>45745</v>
      </c>
      <c r="C282" t="s">
        <v>452</v>
      </c>
      <c r="D282" t="s">
        <v>40</v>
      </c>
      <c r="E282" t="s">
        <v>37</v>
      </c>
      <c r="F282" t="s">
        <v>27</v>
      </c>
      <c r="G282" t="s">
        <v>17</v>
      </c>
      <c r="H282">
        <v>1</v>
      </c>
      <c r="I282" s="12">
        <v>203.52</v>
      </c>
      <c r="J282" s="12">
        <v>0</v>
      </c>
      <c r="K282" s="9">
        <v>203.52</v>
      </c>
      <c r="L282" s="9">
        <v>49.16</v>
      </c>
      <c r="M282" s="9">
        <f t="shared" si="4"/>
        <v>0</v>
      </c>
    </row>
    <row r="283" spans="1:13" x14ac:dyDescent="0.3">
      <c r="A283" t="s">
        <v>488</v>
      </c>
      <c r="B283" s="1">
        <v>45745</v>
      </c>
      <c r="C283" t="s">
        <v>389</v>
      </c>
      <c r="D283" t="s">
        <v>14</v>
      </c>
      <c r="E283" t="s">
        <v>15</v>
      </c>
      <c r="F283" t="s">
        <v>16</v>
      </c>
      <c r="G283" t="s">
        <v>32</v>
      </c>
      <c r="H283">
        <v>1</v>
      </c>
      <c r="I283" s="12">
        <v>14.69</v>
      </c>
      <c r="J283" s="12">
        <v>0</v>
      </c>
      <c r="K283" s="9">
        <v>14.69</v>
      </c>
      <c r="L283" s="9">
        <v>2.56</v>
      </c>
      <c r="M283" s="9">
        <f t="shared" si="4"/>
        <v>0</v>
      </c>
    </row>
    <row r="284" spans="1:13" x14ac:dyDescent="0.3">
      <c r="A284" t="s">
        <v>489</v>
      </c>
      <c r="B284" s="1">
        <v>45745</v>
      </c>
      <c r="C284" t="s">
        <v>221</v>
      </c>
      <c r="D284" t="s">
        <v>40</v>
      </c>
      <c r="E284" t="s">
        <v>110</v>
      </c>
      <c r="F284" t="s">
        <v>42</v>
      </c>
      <c r="G284" t="s">
        <v>32</v>
      </c>
      <c r="H284">
        <v>4</v>
      </c>
      <c r="I284" s="12">
        <v>22.1</v>
      </c>
      <c r="J284" s="12">
        <v>0.05</v>
      </c>
      <c r="K284" s="9">
        <v>83.97</v>
      </c>
      <c r="L284" s="9">
        <v>12.64</v>
      </c>
      <c r="M284" s="9">
        <f t="shared" si="4"/>
        <v>4.4200000000000008</v>
      </c>
    </row>
    <row r="285" spans="1:13" x14ac:dyDescent="0.3">
      <c r="A285" t="s">
        <v>490</v>
      </c>
      <c r="B285" s="1">
        <v>45746</v>
      </c>
      <c r="C285" t="s">
        <v>491</v>
      </c>
      <c r="D285" t="s">
        <v>14</v>
      </c>
      <c r="E285" t="s">
        <v>26</v>
      </c>
      <c r="F285" t="s">
        <v>27</v>
      </c>
      <c r="G285" t="s">
        <v>22</v>
      </c>
      <c r="H285">
        <v>1</v>
      </c>
      <c r="I285" s="12">
        <v>80.67</v>
      </c>
      <c r="J285" s="12">
        <v>0.05</v>
      </c>
      <c r="K285" s="9">
        <v>76.64</v>
      </c>
      <c r="L285" s="9">
        <v>13.1</v>
      </c>
      <c r="M285" s="9">
        <f t="shared" si="4"/>
        <v>4.0335000000000001</v>
      </c>
    </row>
    <row r="286" spans="1:13" x14ac:dyDescent="0.3">
      <c r="A286" t="s">
        <v>492</v>
      </c>
      <c r="B286" s="1">
        <v>45746</v>
      </c>
      <c r="C286" t="s">
        <v>387</v>
      </c>
      <c r="D286" t="s">
        <v>14</v>
      </c>
      <c r="E286" t="s">
        <v>54</v>
      </c>
      <c r="F286" t="s">
        <v>27</v>
      </c>
      <c r="G286" t="s">
        <v>17</v>
      </c>
      <c r="H286">
        <v>1</v>
      </c>
      <c r="I286" s="12">
        <v>27.6</v>
      </c>
      <c r="J286" s="12">
        <v>0.2</v>
      </c>
      <c r="K286" s="9">
        <v>22.08</v>
      </c>
      <c r="L286" s="9">
        <v>3.41</v>
      </c>
      <c r="M286" s="9">
        <f t="shared" si="4"/>
        <v>5.5200000000000005</v>
      </c>
    </row>
    <row r="287" spans="1:13" x14ac:dyDescent="0.3">
      <c r="A287" t="s">
        <v>493</v>
      </c>
      <c r="B287" s="1">
        <v>45747</v>
      </c>
      <c r="C287" t="s">
        <v>494</v>
      </c>
      <c r="D287" t="s">
        <v>25</v>
      </c>
      <c r="E287" t="s">
        <v>31</v>
      </c>
      <c r="F287" t="s">
        <v>21</v>
      </c>
      <c r="G287" t="s">
        <v>28</v>
      </c>
      <c r="H287">
        <v>1</v>
      </c>
      <c r="I287" s="12">
        <v>43.07</v>
      </c>
      <c r="J287" s="12">
        <v>0</v>
      </c>
      <c r="K287" s="9">
        <v>43.07</v>
      </c>
      <c r="L287" s="9">
        <v>5.82</v>
      </c>
      <c r="M287" s="9">
        <f t="shared" si="4"/>
        <v>0</v>
      </c>
    </row>
    <row r="288" spans="1:13" x14ac:dyDescent="0.3">
      <c r="A288" t="s">
        <v>495</v>
      </c>
      <c r="B288" s="1">
        <v>45747</v>
      </c>
      <c r="C288" t="s">
        <v>205</v>
      </c>
      <c r="D288" t="s">
        <v>40</v>
      </c>
      <c r="E288" t="s">
        <v>110</v>
      </c>
      <c r="F288" t="s">
        <v>42</v>
      </c>
      <c r="G288" t="s">
        <v>22</v>
      </c>
      <c r="H288">
        <v>1</v>
      </c>
      <c r="I288" s="12">
        <v>20.39</v>
      </c>
      <c r="J288" s="12">
        <v>0.1</v>
      </c>
      <c r="K288" s="9">
        <v>18.350000000000001</v>
      </c>
      <c r="L288" s="9">
        <v>3.88</v>
      </c>
      <c r="M288" s="9">
        <f t="shared" si="4"/>
        <v>2.0390000000000001</v>
      </c>
    </row>
    <row r="289" spans="1:13" x14ac:dyDescent="0.3">
      <c r="A289" t="s">
        <v>496</v>
      </c>
      <c r="B289" s="1">
        <v>45747</v>
      </c>
      <c r="C289" t="s">
        <v>141</v>
      </c>
      <c r="D289" t="s">
        <v>14</v>
      </c>
      <c r="E289" t="s">
        <v>56</v>
      </c>
      <c r="F289" t="s">
        <v>21</v>
      </c>
      <c r="G289" t="s">
        <v>22</v>
      </c>
      <c r="H289">
        <v>2</v>
      </c>
      <c r="I289" s="12">
        <v>335.32</v>
      </c>
      <c r="J289" s="12">
        <v>0.05</v>
      </c>
      <c r="K289" s="9">
        <v>637.11</v>
      </c>
      <c r="L289" s="9">
        <v>162.24</v>
      </c>
      <c r="M289" s="9">
        <f t="shared" si="4"/>
        <v>33.532000000000004</v>
      </c>
    </row>
    <row r="290" spans="1:13" x14ac:dyDescent="0.3">
      <c r="A290" t="s">
        <v>497</v>
      </c>
      <c r="B290" s="1">
        <v>45748</v>
      </c>
      <c r="C290" t="s">
        <v>46</v>
      </c>
      <c r="D290" t="s">
        <v>25</v>
      </c>
      <c r="E290" t="s">
        <v>56</v>
      </c>
      <c r="F290" t="s">
        <v>21</v>
      </c>
      <c r="G290" t="s">
        <v>17</v>
      </c>
      <c r="H290">
        <v>2</v>
      </c>
      <c r="I290" s="12">
        <v>361.51</v>
      </c>
      <c r="J290" s="12">
        <v>0</v>
      </c>
      <c r="K290" s="9">
        <v>723.01</v>
      </c>
      <c r="L290" s="9">
        <v>179.83</v>
      </c>
      <c r="M290" s="9">
        <f t="shared" si="4"/>
        <v>0</v>
      </c>
    </row>
    <row r="291" spans="1:13" x14ac:dyDescent="0.3">
      <c r="A291" t="s">
        <v>498</v>
      </c>
      <c r="B291" s="1">
        <v>45748</v>
      </c>
      <c r="C291" t="s">
        <v>462</v>
      </c>
      <c r="D291" t="s">
        <v>14</v>
      </c>
      <c r="E291" t="s">
        <v>65</v>
      </c>
      <c r="F291" t="s">
        <v>16</v>
      </c>
      <c r="G291" t="s">
        <v>32</v>
      </c>
      <c r="H291">
        <v>2</v>
      </c>
      <c r="I291" s="12">
        <v>17.350000000000001</v>
      </c>
      <c r="J291" s="12">
        <v>0</v>
      </c>
      <c r="K291" s="9">
        <v>34.69</v>
      </c>
      <c r="L291" s="9">
        <v>9.44</v>
      </c>
      <c r="M291" s="9">
        <f t="shared" si="4"/>
        <v>0</v>
      </c>
    </row>
    <row r="292" spans="1:13" x14ac:dyDescent="0.3">
      <c r="A292" t="s">
        <v>499</v>
      </c>
      <c r="B292" s="1">
        <v>45749</v>
      </c>
      <c r="C292" t="s">
        <v>500</v>
      </c>
      <c r="D292" t="s">
        <v>40</v>
      </c>
      <c r="E292" t="s">
        <v>110</v>
      </c>
      <c r="F292" t="s">
        <v>42</v>
      </c>
      <c r="G292" t="s">
        <v>22</v>
      </c>
      <c r="H292">
        <v>2</v>
      </c>
      <c r="I292" s="12">
        <v>22.48</v>
      </c>
      <c r="J292" s="12">
        <v>0.1</v>
      </c>
      <c r="K292" s="9">
        <v>40.46</v>
      </c>
      <c r="L292" s="9">
        <v>8.58</v>
      </c>
      <c r="M292" s="9">
        <f t="shared" si="4"/>
        <v>4.4960000000000004</v>
      </c>
    </row>
    <row r="293" spans="1:13" x14ac:dyDescent="0.3">
      <c r="A293" t="s">
        <v>501</v>
      </c>
      <c r="B293" s="1">
        <v>45749</v>
      </c>
      <c r="C293" t="s">
        <v>502</v>
      </c>
      <c r="D293" t="s">
        <v>14</v>
      </c>
      <c r="E293" t="s">
        <v>51</v>
      </c>
      <c r="F293" t="s">
        <v>27</v>
      </c>
      <c r="G293" t="s">
        <v>22</v>
      </c>
      <c r="H293">
        <v>1</v>
      </c>
      <c r="I293" s="12">
        <v>975.27</v>
      </c>
      <c r="J293" s="12">
        <v>0.05</v>
      </c>
      <c r="K293" s="9">
        <v>926.51</v>
      </c>
      <c r="L293" s="9">
        <v>75.31</v>
      </c>
      <c r="M293" s="9">
        <f t="shared" si="4"/>
        <v>48.763500000000001</v>
      </c>
    </row>
    <row r="294" spans="1:13" x14ac:dyDescent="0.3">
      <c r="A294" t="s">
        <v>503</v>
      </c>
      <c r="B294" s="1">
        <v>45749</v>
      </c>
      <c r="C294" t="s">
        <v>477</v>
      </c>
      <c r="D294" t="s">
        <v>40</v>
      </c>
      <c r="E294" t="s">
        <v>54</v>
      </c>
      <c r="F294" t="s">
        <v>27</v>
      </c>
      <c r="G294" t="s">
        <v>32</v>
      </c>
      <c r="H294">
        <v>1</v>
      </c>
      <c r="I294" s="12">
        <v>28.24</v>
      </c>
      <c r="J294" s="12">
        <v>0.05</v>
      </c>
      <c r="K294" s="9">
        <v>26.83</v>
      </c>
      <c r="L294" s="9">
        <v>3.36</v>
      </c>
      <c r="M294" s="9">
        <f t="shared" si="4"/>
        <v>1.4119999999999999</v>
      </c>
    </row>
    <row r="295" spans="1:13" x14ac:dyDescent="0.3">
      <c r="A295" t="s">
        <v>504</v>
      </c>
      <c r="B295" s="1">
        <v>45749</v>
      </c>
      <c r="C295" t="s">
        <v>394</v>
      </c>
      <c r="D295" t="s">
        <v>14</v>
      </c>
      <c r="E295" t="s">
        <v>51</v>
      </c>
      <c r="F295" t="s">
        <v>27</v>
      </c>
      <c r="G295" t="s">
        <v>17</v>
      </c>
      <c r="H295">
        <v>1</v>
      </c>
      <c r="I295" s="12">
        <v>1002.15</v>
      </c>
      <c r="J295" s="12">
        <v>0</v>
      </c>
      <c r="K295" s="9">
        <v>1002.15</v>
      </c>
      <c r="L295" s="9">
        <v>107.12</v>
      </c>
      <c r="M295" s="9">
        <f t="shared" si="4"/>
        <v>0</v>
      </c>
    </row>
    <row r="296" spans="1:13" x14ac:dyDescent="0.3">
      <c r="A296" t="s">
        <v>505</v>
      </c>
      <c r="B296" s="1">
        <v>45750</v>
      </c>
      <c r="C296" t="s">
        <v>506</v>
      </c>
      <c r="D296" t="s">
        <v>14</v>
      </c>
      <c r="E296" t="s">
        <v>41</v>
      </c>
      <c r="F296" t="s">
        <v>42</v>
      </c>
      <c r="G296" t="s">
        <v>32</v>
      </c>
      <c r="H296">
        <v>1</v>
      </c>
      <c r="I296" s="12">
        <v>59.35</v>
      </c>
      <c r="J296" s="12">
        <v>0.05</v>
      </c>
      <c r="K296" s="9">
        <v>56.38</v>
      </c>
      <c r="L296" s="9">
        <v>14.9</v>
      </c>
      <c r="M296" s="9">
        <f t="shared" si="4"/>
        <v>2.9675000000000002</v>
      </c>
    </row>
    <row r="297" spans="1:13" x14ac:dyDescent="0.3">
      <c r="A297" t="s">
        <v>507</v>
      </c>
      <c r="B297" s="1">
        <v>45750</v>
      </c>
      <c r="C297" t="s">
        <v>508</v>
      </c>
      <c r="D297" t="s">
        <v>14</v>
      </c>
      <c r="E297" t="s">
        <v>56</v>
      </c>
      <c r="F297" t="s">
        <v>21</v>
      </c>
      <c r="G297" t="s">
        <v>32</v>
      </c>
      <c r="H297">
        <v>1</v>
      </c>
      <c r="I297" s="12">
        <v>353.62</v>
      </c>
      <c r="J297" s="12">
        <v>0.05</v>
      </c>
      <c r="K297" s="9">
        <v>335.94</v>
      </c>
      <c r="L297" s="9">
        <v>68.069999999999993</v>
      </c>
      <c r="M297" s="9">
        <f t="shared" si="4"/>
        <v>17.681000000000001</v>
      </c>
    </row>
    <row r="298" spans="1:13" x14ac:dyDescent="0.3">
      <c r="A298" t="s">
        <v>509</v>
      </c>
      <c r="B298" s="1">
        <v>45750</v>
      </c>
      <c r="C298" t="s">
        <v>226</v>
      </c>
      <c r="D298" t="s">
        <v>40</v>
      </c>
      <c r="E298" t="s">
        <v>31</v>
      </c>
      <c r="F298" t="s">
        <v>21</v>
      </c>
      <c r="G298" t="s">
        <v>32</v>
      </c>
      <c r="H298">
        <v>4</v>
      </c>
      <c r="I298" s="12">
        <v>37.82</v>
      </c>
      <c r="J298" s="12">
        <v>0.05</v>
      </c>
      <c r="K298" s="9">
        <v>143.72999999999999</v>
      </c>
      <c r="L298" s="9">
        <v>17.05</v>
      </c>
      <c r="M298" s="9">
        <f t="shared" si="4"/>
        <v>7.5640000000000001</v>
      </c>
    </row>
    <row r="299" spans="1:13" x14ac:dyDescent="0.3">
      <c r="A299" t="s">
        <v>510</v>
      </c>
      <c r="B299" s="1">
        <v>45751</v>
      </c>
      <c r="C299" t="s">
        <v>511</v>
      </c>
      <c r="D299" t="s">
        <v>14</v>
      </c>
      <c r="E299" t="s">
        <v>37</v>
      </c>
      <c r="F299" t="s">
        <v>27</v>
      </c>
      <c r="G299" t="s">
        <v>32</v>
      </c>
      <c r="H299">
        <v>3</v>
      </c>
      <c r="I299" s="12">
        <v>203.54</v>
      </c>
      <c r="J299" s="12">
        <v>0.1</v>
      </c>
      <c r="K299" s="9">
        <v>549.57000000000005</v>
      </c>
      <c r="L299" s="9">
        <v>81.44</v>
      </c>
      <c r="M299" s="9">
        <f t="shared" si="4"/>
        <v>61.062000000000005</v>
      </c>
    </row>
    <row r="300" spans="1:13" x14ac:dyDescent="0.3">
      <c r="A300" t="s">
        <v>512</v>
      </c>
      <c r="B300" s="1">
        <v>45751</v>
      </c>
      <c r="C300" t="s">
        <v>259</v>
      </c>
      <c r="D300" t="s">
        <v>14</v>
      </c>
      <c r="E300" t="s">
        <v>26</v>
      </c>
      <c r="F300" t="s">
        <v>27</v>
      </c>
      <c r="G300" t="s">
        <v>32</v>
      </c>
      <c r="H300">
        <v>1</v>
      </c>
      <c r="I300" s="12">
        <v>82.39</v>
      </c>
      <c r="J300" s="12">
        <v>0.1</v>
      </c>
      <c r="K300" s="9">
        <v>74.150000000000006</v>
      </c>
      <c r="L300" s="9">
        <v>9.91</v>
      </c>
      <c r="M300" s="9">
        <f t="shared" si="4"/>
        <v>8.2390000000000008</v>
      </c>
    </row>
    <row r="301" spans="1:13" x14ac:dyDescent="0.3">
      <c r="A301" t="s">
        <v>513</v>
      </c>
      <c r="B301" s="1">
        <v>45752</v>
      </c>
      <c r="C301" t="s">
        <v>514</v>
      </c>
      <c r="D301" t="s">
        <v>25</v>
      </c>
      <c r="E301" t="s">
        <v>92</v>
      </c>
      <c r="F301" t="s">
        <v>16</v>
      </c>
      <c r="G301" t="s">
        <v>22</v>
      </c>
      <c r="H301">
        <v>2</v>
      </c>
      <c r="I301" s="12">
        <v>9.83</v>
      </c>
      <c r="J301" s="12">
        <v>0.05</v>
      </c>
      <c r="K301" s="9">
        <v>18.68</v>
      </c>
      <c r="L301" s="9">
        <v>3.66</v>
      </c>
      <c r="M301" s="9">
        <f t="shared" si="4"/>
        <v>0.9830000000000001</v>
      </c>
    </row>
    <row r="302" spans="1:13" x14ac:dyDescent="0.3">
      <c r="A302" t="s">
        <v>515</v>
      </c>
      <c r="B302" s="1">
        <v>45752</v>
      </c>
      <c r="C302" t="s">
        <v>516</v>
      </c>
      <c r="D302" t="s">
        <v>14</v>
      </c>
      <c r="E302" t="s">
        <v>20</v>
      </c>
      <c r="F302" t="s">
        <v>21</v>
      </c>
      <c r="G302" t="s">
        <v>32</v>
      </c>
      <c r="H302">
        <v>1</v>
      </c>
      <c r="I302" s="12">
        <v>191.41</v>
      </c>
      <c r="J302" s="12">
        <v>0.2</v>
      </c>
      <c r="K302" s="9">
        <v>153.13</v>
      </c>
      <c r="L302" s="9">
        <v>29.46</v>
      </c>
      <c r="M302" s="9">
        <f t="shared" si="4"/>
        <v>38.282000000000004</v>
      </c>
    </row>
    <row r="303" spans="1:13" x14ac:dyDescent="0.3">
      <c r="A303" t="s">
        <v>517</v>
      </c>
      <c r="B303" s="1">
        <v>45752</v>
      </c>
      <c r="C303" t="s">
        <v>518</v>
      </c>
      <c r="D303" t="s">
        <v>25</v>
      </c>
      <c r="E303" t="s">
        <v>51</v>
      </c>
      <c r="F303" t="s">
        <v>27</v>
      </c>
      <c r="G303" t="s">
        <v>17</v>
      </c>
      <c r="H303">
        <v>2</v>
      </c>
      <c r="I303" s="12">
        <v>955.14</v>
      </c>
      <c r="J303" s="12">
        <v>0.05</v>
      </c>
      <c r="K303" s="9">
        <v>1814.77</v>
      </c>
      <c r="L303" s="9">
        <v>137.06</v>
      </c>
      <c r="M303" s="9">
        <f t="shared" si="4"/>
        <v>95.51400000000001</v>
      </c>
    </row>
    <row r="304" spans="1:13" x14ac:dyDescent="0.3">
      <c r="A304" t="s">
        <v>519</v>
      </c>
      <c r="B304" s="1">
        <v>45752</v>
      </c>
      <c r="C304" t="s">
        <v>520</v>
      </c>
      <c r="D304" t="s">
        <v>14</v>
      </c>
      <c r="E304" t="s">
        <v>92</v>
      </c>
      <c r="F304" t="s">
        <v>16</v>
      </c>
      <c r="G304" t="s">
        <v>32</v>
      </c>
      <c r="H304">
        <v>1</v>
      </c>
      <c r="I304" s="12">
        <v>8.23</v>
      </c>
      <c r="J304" s="12">
        <v>0.05</v>
      </c>
      <c r="K304" s="9">
        <v>7.82</v>
      </c>
      <c r="L304" s="9">
        <v>2.0499999999999998</v>
      </c>
      <c r="M304" s="9">
        <f t="shared" si="4"/>
        <v>0.41150000000000003</v>
      </c>
    </row>
    <row r="305" spans="1:13" x14ac:dyDescent="0.3">
      <c r="A305" t="s">
        <v>521</v>
      </c>
      <c r="B305" s="1">
        <v>45753</v>
      </c>
      <c r="C305" t="s">
        <v>326</v>
      </c>
      <c r="D305" t="s">
        <v>40</v>
      </c>
      <c r="E305" t="s">
        <v>15</v>
      </c>
      <c r="F305" t="s">
        <v>16</v>
      </c>
      <c r="G305" t="s">
        <v>28</v>
      </c>
      <c r="H305">
        <v>1</v>
      </c>
      <c r="I305" s="12">
        <v>14.67</v>
      </c>
      <c r="J305" s="12">
        <v>0.1</v>
      </c>
      <c r="K305" s="9">
        <v>13.2</v>
      </c>
      <c r="L305" s="9">
        <v>1.41</v>
      </c>
      <c r="M305" s="9">
        <f t="shared" si="4"/>
        <v>1.4670000000000001</v>
      </c>
    </row>
    <row r="306" spans="1:13" x14ac:dyDescent="0.3">
      <c r="A306" t="s">
        <v>522</v>
      </c>
      <c r="B306" s="1">
        <v>45753</v>
      </c>
      <c r="C306" t="s">
        <v>523</v>
      </c>
      <c r="D306" t="s">
        <v>25</v>
      </c>
      <c r="E306" t="s">
        <v>110</v>
      </c>
      <c r="F306" t="s">
        <v>42</v>
      </c>
      <c r="G306" t="s">
        <v>22</v>
      </c>
      <c r="H306">
        <v>2</v>
      </c>
      <c r="I306" s="12">
        <v>23.26</v>
      </c>
      <c r="J306" s="12">
        <v>0.05</v>
      </c>
      <c r="K306" s="9">
        <v>44.19</v>
      </c>
      <c r="L306" s="9">
        <v>11.46</v>
      </c>
      <c r="M306" s="9">
        <f t="shared" si="4"/>
        <v>2.3260000000000001</v>
      </c>
    </row>
    <row r="307" spans="1:13" x14ac:dyDescent="0.3">
      <c r="A307" t="s">
        <v>524</v>
      </c>
      <c r="B307" s="1">
        <v>45753</v>
      </c>
      <c r="C307" t="s">
        <v>514</v>
      </c>
      <c r="D307" t="s">
        <v>25</v>
      </c>
      <c r="E307" t="s">
        <v>92</v>
      </c>
      <c r="F307" t="s">
        <v>16</v>
      </c>
      <c r="G307" t="s">
        <v>22</v>
      </c>
      <c r="H307">
        <v>1</v>
      </c>
      <c r="I307" s="12">
        <v>8.35</v>
      </c>
      <c r="J307" s="12">
        <v>0.15</v>
      </c>
      <c r="K307" s="9">
        <v>7.1</v>
      </c>
      <c r="L307" s="9">
        <v>0.79</v>
      </c>
      <c r="M307" s="9">
        <f t="shared" si="4"/>
        <v>1.2524999999999999</v>
      </c>
    </row>
    <row r="308" spans="1:13" x14ac:dyDescent="0.3">
      <c r="A308" t="s">
        <v>525</v>
      </c>
      <c r="B308" s="1">
        <v>45753</v>
      </c>
      <c r="C308" t="s">
        <v>136</v>
      </c>
      <c r="D308" t="s">
        <v>40</v>
      </c>
      <c r="E308" t="s">
        <v>26</v>
      </c>
      <c r="F308" t="s">
        <v>27</v>
      </c>
      <c r="G308" t="s">
        <v>28</v>
      </c>
      <c r="H308">
        <v>4</v>
      </c>
      <c r="I308" s="12">
        <v>73.930000000000007</v>
      </c>
      <c r="J308" s="12">
        <v>0.1</v>
      </c>
      <c r="K308" s="9">
        <v>266.17</v>
      </c>
      <c r="L308" s="9">
        <v>25.95</v>
      </c>
      <c r="M308" s="9">
        <f t="shared" si="4"/>
        <v>29.572000000000003</v>
      </c>
    </row>
    <row r="309" spans="1:13" x14ac:dyDescent="0.3">
      <c r="A309" t="s">
        <v>526</v>
      </c>
      <c r="B309" s="1">
        <v>45753</v>
      </c>
      <c r="C309" t="s">
        <v>175</v>
      </c>
      <c r="D309" t="s">
        <v>14</v>
      </c>
      <c r="E309" t="s">
        <v>56</v>
      </c>
      <c r="F309" t="s">
        <v>21</v>
      </c>
      <c r="G309" t="s">
        <v>17</v>
      </c>
      <c r="H309">
        <v>1</v>
      </c>
      <c r="I309" s="12">
        <v>312.79000000000002</v>
      </c>
      <c r="J309" s="12">
        <v>0.1</v>
      </c>
      <c r="K309" s="9">
        <v>281.51</v>
      </c>
      <c r="L309" s="9">
        <v>30.63</v>
      </c>
      <c r="M309" s="9">
        <f t="shared" si="4"/>
        <v>31.279000000000003</v>
      </c>
    </row>
    <row r="310" spans="1:13" x14ac:dyDescent="0.3">
      <c r="A310" t="s">
        <v>527</v>
      </c>
      <c r="B310" s="1">
        <v>45753</v>
      </c>
      <c r="C310" t="s">
        <v>132</v>
      </c>
      <c r="D310" t="s">
        <v>14</v>
      </c>
      <c r="E310" t="s">
        <v>56</v>
      </c>
      <c r="F310" t="s">
        <v>21</v>
      </c>
      <c r="G310" t="s">
        <v>28</v>
      </c>
      <c r="H310">
        <v>3</v>
      </c>
      <c r="I310" s="12">
        <v>318.23</v>
      </c>
      <c r="J310" s="12">
        <v>0</v>
      </c>
      <c r="K310" s="9">
        <v>954.69</v>
      </c>
      <c r="L310" s="9">
        <v>165.25</v>
      </c>
      <c r="M310" s="9">
        <f t="shared" si="4"/>
        <v>0</v>
      </c>
    </row>
    <row r="311" spans="1:13" x14ac:dyDescent="0.3">
      <c r="A311" t="s">
        <v>528</v>
      </c>
      <c r="B311" s="1">
        <v>45754</v>
      </c>
      <c r="C311" t="s">
        <v>529</v>
      </c>
      <c r="D311" t="s">
        <v>14</v>
      </c>
      <c r="E311" t="s">
        <v>41</v>
      </c>
      <c r="F311" t="s">
        <v>42</v>
      </c>
      <c r="G311" t="s">
        <v>32</v>
      </c>
      <c r="H311">
        <v>4</v>
      </c>
      <c r="I311" s="12">
        <v>50.52</v>
      </c>
      <c r="J311" s="12">
        <v>0</v>
      </c>
      <c r="K311" s="9">
        <v>202.06</v>
      </c>
      <c r="L311" s="9">
        <v>22.74</v>
      </c>
      <c r="M311" s="9">
        <f t="shared" si="4"/>
        <v>0</v>
      </c>
    </row>
    <row r="312" spans="1:13" x14ac:dyDescent="0.3">
      <c r="A312" t="s">
        <v>530</v>
      </c>
      <c r="B312" s="1">
        <v>45755</v>
      </c>
      <c r="C312" t="s">
        <v>387</v>
      </c>
      <c r="D312" t="s">
        <v>40</v>
      </c>
      <c r="E312" t="s">
        <v>31</v>
      </c>
      <c r="F312" t="s">
        <v>21</v>
      </c>
      <c r="G312" t="s">
        <v>28</v>
      </c>
      <c r="H312">
        <v>2</v>
      </c>
      <c r="I312" s="12">
        <v>45.06</v>
      </c>
      <c r="J312" s="12">
        <v>0.1</v>
      </c>
      <c r="K312" s="9">
        <v>81.11</v>
      </c>
      <c r="L312" s="9">
        <v>12.11</v>
      </c>
      <c r="M312" s="9">
        <f t="shared" si="4"/>
        <v>9.0120000000000005</v>
      </c>
    </row>
    <row r="313" spans="1:13" x14ac:dyDescent="0.3">
      <c r="A313" t="s">
        <v>531</v>
      </c>
      <c r="B313" s="1">
        <v>45755</v>
      </c>
      <c r="C313" t="s">
        <v>234</v>
      </c>
      <c r="D313" t="s">
        <v>40</v>
      </c>
      <c r="E313" t="s">
        <v>37</v>
      </c>
      <c r="F313" t="s">
        <v>27</v>
      </c>
      <c r="G313" t="s">
        <v>22</v>
      </c>
      <c r="H313">
        <v>4</v>
      </c>
      <c r="I313" s="12">
        <v>211.79</v>
      </c>
      <c r="J313" s="12">
        <v>0.1</v>
      </c>
      <c r="K313" s="9">
        <v>762.44</v>
      </c>
      <c r="L313" s="9">
        <v>146.09</v>
      </c>
      <c r="M313" s="9">
        <f t="shared" si="4"/>
        <v>84.716000000000008</v>
      </c>
    </row>
    <row r="314" spans="1:13" x14ac:dyDescent="0.3">
      <c r="A314" t="s">
        <v>532</v>
      </c>
      <c r="B314" s="1">
        <v>45755</v>
      </c>
      <c r="C314" t="s">
        <v>74</v>
      </c>
      <c r="D314" t="s">
        <v>14</v>
      </c>
      <c r="E314" t="s">
        <v>54</v>
      </c>
      <c r="F314" t="s">
        <v>27</v>
      </c>
      <c r="G314" t="s">
        <v>17</v>
      </c>
      <c r="H314">
        <v>2</v>
      </c>
      <c r="I314" s="12">
        <v>30.48</v>
      </c>
      <c r="J314" s="12">
        <v>0</v>
      </c>
      <c r="K314" s="9">
        <v>60.95</v>
      </c>
      <c r="L314" s="9">
        <v>5.79</v>
      </c>
      <c r="M314" s="9">
        <f t="shared" si="4"/>
        <v>0</v>
      </c>
    </row>
    <row r="315" spans="1:13" x14ac:dyDescent="0.3">
      <c r="A315" t="s">
        <v>533</v>
      </c>
      <c r="B315" s="1">
        <v>45755</v>
      </c>
      <c r="C315" t="s">
        <v>534</v>
      </c>
      <c r="D315" t="s">
        <v>40</v>
      </c>
      <c r="E315" t="s">
        <v>65</v>
      </c>
      <c r="F315" t="s">
        <v>16</v>
      </c>
      <c r="G315" t="s">
        <v>17</v>
      </c>
      <c r="H315">
        <v>1</v>
      </c>
      <c r="I315" s="12">
        <v>17.37</v>
      </c>
      <c r="J315" s="12">
        <v>0</v>
      </c>
      <c r="K315" s="9">
        <v>17.37</v>
      </c>
      <c r="L315" s="9">
        <v>3.43</v>
      </c>
      <c r="M315" s="9">
        <f t="shared" si="4"/>
        <v>0</v>
      </c>
    </row>
    <row r="316" spans="1:13" x14ac:dyDescent="0.3">
      <c r="A316" t="s">
        <v>535</v>
      </c>
      <c r="B316" s="1">
        <v>45755</v>
      </c>
      <c r="C316" t="s">
        <v>184</v>
      </c>
      <c r="D316" t="s">
        <v>14</v>
      </c>
      <c r="E316" t="s">
        <v>56</v>
      </c>
      <c r="F316" t="s">
        <v>21</v>
      </c>
      <c r="G316" t="s">
        <v>17</v>
      </c>
      <c r="H316">
        <v>1</v>
      </c>
      <c r="I316" s="12">
        <v>345.78</v>
      </c>
      <c r="J316" s="12">
        <v>0</v>
      </c>
      <c r="K316" s="9">
        <v>345.78</v>
      </c>
      <c r="L316" s="9">
        <v>49.65</v>
      </c>
      <c r="M316" s="9">
        <f t="shared" si="4"/>
        <v>0</v>
      </c>
    </row>
    <row r="317" spans="1:13" x14ac:dyDescent="0.3">
      <c r="A317" t="s">
        <v>536</v>
      </c>
      <c r="B317" s="1">
        <v>45755</v>
      </c>
      <c r="C317" t="s">
        <v>537</v>
      </c>
      <c r="D317" t="s">
        <v>14</v>
      </c>
      <c r="E317" t="s">
        <v>51</v>
      </c>
      <c r="F317" t="s">
        <v>27</v>
      </c>
      <c r="G317" t="s">
        <v>28</v>
      </c>
      <c r="H317">
        <v>1</v>
      </c>
      <c r="I317" s="12">
        <v>915.88</v>
      </c>
      <c r="J317" s="12">
        <v>0</v>
      </c>
      <c r="K317" s="9">
        <v>915.88</v>
      </c>
      <c r="L317" s="9">
        <v>103.36</v>
      </c>
      <c r="M317" s="9">
        <f t="shared" si="4"/>
        <v>0</v>
      </c>
    </row>
    <row r="318" spans="1:13" x14ac:dyDescent="0.3">
      <c r="A318" t="s">
        <v>538</v>
      </c>
      <c r="B318" s="1">
        <v>45756</v>
      </c>
      <c r="C318" t="s">
        <v>484</v>
      </c>
      <c r="D318" t="s">
        <v>14</v>
      </c>
      <c r="E318" t="s">
        <v>41</v>
      </c>
      <c r="F318" t="s">
        <v>42</v>
      </c>
      <c r="G318" t="s">
        <v>17</v>
      </c>
      <c r="H318">
        <v>3</v>
      </c>
      <c r="I318" s="12">
        <v>57.54</v>
      </c>
      <c r="J318" s="12">
        <v>0.05</v>
      </c>
      <c r="K318" s="9">
        <v>163.99</v>
      </c>
      <c r="L318" s="9">
        <v>15.69</v>
      </c>
      <c r="M318" s="9">
        <f t="shared" si="4"/>
        <v>8.6310000000000002</v>
      </c>
    </row>
    <row r="319" spans="1:13" x14ac:dyDescent="0.3">
      <c r="A319" t="s">
        <v>539</v>
      </c>
      <c r="B319" s="1">
        <v>45756</v>
      </c>
      <c r="C319" t="s">
        <v>209</v>
      </c>
      <c r="D319" t="s">
        <v>14</v>
      </c>
      <c r="E319" t="s">
        <v>15</v>
      </c>
      <c r="F319" t="s">
        <v>16</v>
      </c>
      <c r="G319" t="s">
        <v>17</v>
      </c>
      <c r="H319">
        <v>1</v>
      </c>
      <c r="I319" s="12">
        <v>14.81</v>
      </c>
      <c r="J319" s="12">
        <v>0</v>
      </c>
      <c r="K319" s="9">
        <v>14.81</v>
      </c>
      <c r="L319" s="9">
        <v>1.68</v>
      </c>
      <c r="M319" s="9">
        <f t="shared" si="4"/>
        <v>0</v>
      </c>
    </row>
    <row r="320" spans="1:13" x14ac:dyDescent="0.3">
      <c r="A320" t="s">
        <v>540</v>
      </c>
      <c r="B320" s="1">
        <v>45756</v>
      </c>
      <c r="C320" t="s">
        <v>541</v>
      </c>
      <c r="D320" t="s">
        <v>25</v>
      </c>
      <c r="E320" t="s">
        <v>26</v>
      </c>
      <c r="F320" t="s">
        <v>27</v>
      </c>
      <c r="G320" t="s">
        <v>22</v>
      </c>
      <c r="H320">
        <v>4</v>
      </c>
      <c r="I320" s="12">
        <v>77.13</v>
      </c>
      <c r="J320" s="12">
        <v>0.1</v>
      </c>
      <c r="K320" s="9">
        <v>277.67</v>
      </c>
      <c r="L320" s="9">
        <v>22.05</v>
      </c>
      <c r="M320" s="9">
        <f t="shared" si="4"/>
        <v>30.852</v>
      </c>
    </row>
    <row r="321" spans="1:13" x14ac:dyDescent="0.3">
      <c r="A321" t="s">
        <v>542</v>
      </c>
      <c r="B321" s="1">
        <v>45757</v>
      </c>
      <c r="C321" t="s">
        <v>261</v>
      </c>
      <c r="D321" t="s">
        <v>40</v>
      </c>
      <c r="E321" t="s">
        <v>26</v>
      </c>
      <c r="F321" t="s">
        <v>27</v>
      </c>
      <c r="G321" t="s">
        <v>17</v>
      </c>
      <c r="H321">
        <v>2</v>
      </c>
      <c r="I321" s="12">
        <v>79.36</v>
      </c>
      <c r="J321" s="12">
        <v>0.05</v>
      </c>
      <c r="K321" s="9">
        <v>150.78</v>
      </c>
      <c r="L321" s="9">
        <v>14.61</v>
      </c>
      <c r="M321" s="9">
        <f t="shared" si="4"/>
        <v>7.9359999999999999</v>
      </c>
    </row>
    <row r="322" spans="1:13" x14ac:dyDescent="0.3">
      <c r="A322" t="s">
        <v>543</v>
      </c>
      <c r="B322" s="1">
        <v>45758</v>
      </c>
      <c r="C322" t="s">
        <v>544</v>
      </c>
      <c r="D322" t="s">
        <v>14</v>
      </c>
      <c r="E322" t="s">
        <v>51</v>
      </c>
      <c r="F322" t="s">
        <v>27</v>
      </c>
      <c r="G322" t="s">
        <v>28</v>
      </c>
      <c r="H322">
        <v>5</v>
      </c>
      <c r="I322" s="12">
        <v>861.28</v>
      </c>
      <c r="J322" s="12">
        <v>0.05</v>
      </c>
      <c r="K322" s="9">
        <v>4091.08</v>
      </c>
      <c r="L322" s="9">
        <v>559.48</v>
      </c>
      <c r="M322" s="9">
        <f t="shared" si="4"/>
        <v>215.32</v>
      </c>
    </row>
    <row r="323" spans="1:13" x14ac:dyDescent="0.3">
      <c r="A323" t="s">
        <v>545</v>
      </c>
      <c r="B323" s="1">
        <v>45758</v>
      </c>
      <c r="C323" t="s">
        <v>91</v>
      </c>
      <c r="D323" t="s">
        <v>14</v>
      </c>
      <c r="E323" t="s">
        <v>110</v>
      </c>
      <c r="F323" t="s">
        <v>42</v>
      </c>
      <c r="G323" t="s">
        <v>32</v>
      </c>
      <c r="H323">
        <v>2</v>
      </c>
      <c r="I323" s="12">
        <v>22.19</v>
      </c>
      <c r="J323" s="12">
        <v>0</v>
      </c>
      <c r="K323" s="9">
        <v>44.39</v>
      </c>
      <c r="L323" s="9">
        <v>5.61</v>
      </c>
      <c r="M323" s="9">
        <f t="shared" ref="M323:M386" si="5">H323*I323*J323</f>
        <v>0</v>
      </c>
    </row>
    <row r="324" spans="1:13" x14ac:dyDescent="0.3">
      <c r="A324" t="s">
        <v>546</v>
      </c>
      <c r="B324" s="1">
        <v>45759</v>
      </c>
      <c r="C324" t="s">
        <v>547</v>
      </c>
      <c r="D324" t="s">
        <v>14</v>
      </c>
      <c r="E324" t="s">
        <v>65</v>
      </c>
      <c r="F324" t="s">
        <v>16</v>
      </c>
      <c r="G324" t="s">
        <v>17</v>
      </c>
      <c r="H324">
        <v>1</v>
      </c>
      <c r="I324" s="12">
        <v>18.100000000000001</v>
      </c>
      <c r="J324" s="12">
        <v>0.05</v>
      </c>
      <c r="K324" s="9">
        <v>17.190000000000001</v>
      </c>
      <c r="L324" s="9">
        <v>3.6</v>
      </c>
      <c r="M324" s="9">
        <f t="shared" si="5"/>
        <v>0.90500000000000014</v>
      </c>
    </row>
    <row r="325" spans="1:13" x14ac:dyDescent="0.3">
      <c r="A325" t="s">
        <v>548</v>
      </c>
      <c r="B325" s="1">
        <v>45759</v>
      </c>
      <c r="C325" t="s">
        <v>404</v>
      </c>
      <c r="D325" t="s">
        <v>40</v>
      </c>
      <c r="E325" t="s">
        <v>26</v>
      </c>
      <c r="F325" t="s">
        <v>27</v>
      </c>
      <c r="G325" t="s">
        <v>28</v>
      </c>
      <c r="H325">
        <v>3</v>
      </c>
      <c r="I325" s="12">
        <v>79.77</v>
      </c>
      <c r="J325" s="12">
        <v>0.05</v>
      </c>
      <c r="K325" s="9">
        <v>227.34</v>
      </c>
      <c r="L325" s="9">
        <v>21.02</v>
      </c>
      <c r="M325" s="9">
        <f t="shared" si="5"/>
        <v>11.9655</v>
      </c>
    </row>
    <row r="326" spans="1:13" x14ac:dyDescent="0.3">
      <c r="A326" t="s">
        <v>549</v>
      </c>
      <c r="B326" s="1">
        <v>45759</v>
      </c>
      <c r="C326" t="s">
        <v>550</v>
      </c>
      <c r="D326" t="s">
        <v>14</v>
      </c>
      <c r="E326" t="s">
        <v>54</v>
      </c>
      <c r="F326" t="s">
        <v>27</v>
      </c>
      <c r="G326" t="s">
        <v>32</v>
      </c>
      <c r="H326">
        <v>3</v>
      </c>
      <c r="I326" s="12">
        <v>29.62</v>
      </c>
      <c r="J326" s="12">
        <v>0.2</v>
      </c>
      <c r="K326" s="9">
        <v>71.099999999999994</v>
      </c>
      <c r="L326" s="9">
        <v>12.26</v>
      </c>
      <c r="M326" s="9">
        <f t="shared" si="5"/>
        <v>17.772000000000002</v>
      </c>
    </row>
    <row r="327" spans="1:13" x14ac:dyDescent="0.3">
      <c r="A327" t="s">
        <v>551</v>
      </c>
      <c r="B327" s="1">
        <v>45760</v>
      </c>
      <c r="C327" t="s">
        <v>80</v>
      </c>
      <c r="D327" t="s">
        <v>14</v>
      </c>
      <c r="E327" t="s">
        <v>65</v>
      </c>
      <c r="F327" t="s">
        <v>16</v>
      </c>
      <c r="G327" t="s">
        <v>17</v>
      </c>
      <c r="H327">
        <v>1</v>
      </c>
      <c r="I327" s="12">
        <v>18.690000000000001</v>
      </c>
      <c r="J327" s="12">
        <v>0</v>
      </c>
      <c r="K327" s="9">
        <v>18.690000000000001</v>
      </c>
      <c r="L327" s="9">
        <v>3.21</v>
      </c>
      <c r="M327" s="9">
        <f t="shared" si="5"/>
        <v>0</v>
      </c>
    </row>
    <row r="328" spans="1:13" x14ac:dyDescent="0.3">
      <c r="A328" t="s">
        <v>552</v>
      </c>
      <c r="B328" s="1">
        <v>45760</v>
      </c>
      <c r="C328" t="s">
        <v>279</v>
      </c>
      <c r="D328" t="s">
        <v>40</v>
      </c>
      <c r="E328" t="s">
        <v>37</v>
      </c>
      <c r="F328" t="s">
        <v>27</v>
      </c>
      <c r="G328" t="s">
        <v>28</v>
      </c>
      <c r="H328">
        <v>2</v>
      </c>
      <c r="I328" s="12">
        <v>195.55</v>
      </c>
      <c r="J328" s="12">
        <v>0</v>
      </c>
      <c r="K328" s="9">
        <v>391.1</v>
      </c>
      <c r="L328" s="9">
        <v>35.83</v>
      </c>
      <c r="M328" s="9">
        <f t="shared" si="5"/>
        <v>0</v>
      </c>
    </row>
    <row r="329" spans="1:13" x14ac:dyDescent="0.3">
      <c r="A329" t="s">
        <v>553</v>
      </c>
      <c r="B329" s="1">
        <v>45760</v>
      </c>
      <c r="C329" t="s">
        <v>523</v>
      </c>
      <c r="D329" t="s">
        <v>14</v>
      </c>
      <c r="E329" t="s">
        <v>41</v>
      </c>
      <c r="F329" t="s">
        <v>42</v>
      </c>
      <c r="G329" t="s">
        <v>28</v>
      </c>
      <c r="H329">
        <v>2</v>
      </c>
      <c r="I329" s="12">
        <v>52.33</v>
      </c>
      <c r="J329" s="12">
        <v>0</v>
      </c>
      <c r="K329" s="9">
        <v>104.67</v>
      </c>
      <c r="L329" s="9">
        <v>9.6199999999999992</v>
      </c>
      <c r="M329" s="9">
        <f t="shared" si="5"/>
        <v>0</v>
      </c>
    </row>
    <row r="330" spans="1:13" x14ac:dyDescent="0.3">
      <c r="A330" t="s">
        <v>554</v>
      </c>
      <c r="B330" s="1">
        <v>45761</v>
      </c>
      <c r="C330" t="s">
        <v>261</v>
      </c>
      <c r="D330" t="s">
        <v>25</v>
      </c>
      <c r="E330" t="s">
        <v>41</v>
      </c>
      <c r="F330" t="s">
        <v>42</v>
      </c>
      <c r="G330" t="s">
        <v>32</v>
      </c>
      <c r="H330">
        <v>2</v>
      </c>
      <c r="I330" s="12">
        <v>50.24</v>
      </c>
      <c r="J330" s="12">
        <v>0</v>
      </c>
      <c r="K330" s="9">
        <v>100.47</v>
      </c>
      <c r="L330" s="9">
        <v>8.6</v>
      </c>
      <c r="M330" s="9">
        <f t="shared" si="5"/>
        <v>0</v>
      </c>
    </row>
    <row r="331" spans="1:13" x14ac:dyDescent="0.3">
      <c r="A331" t="s">
        <v>555</v>
      </c>
      <c r="B331" s="1">
        <v>45761</v>
      </c>
      <c r="C331" t="s">
        <v>306</v>
      </c>
      <c r="D331" t="s">
        <v>40</v>
      </c>
      <c r="E331" t="s">
        <v>56</v>
      </c>
      <c r="F331" t="s">
        <v>21</v>
      </c>
      <c r="G331" t="s">
        <v>32</v>
      </c>
      <c r="H331">
        <v>3</v>
      </c>
      <c r="I331" s="12">
        <v>360.84</v>
      </c>
      <c r="J331" s="12">
        <v>0.1</v>
      </c>
      <c r="K331" s="9">
        <v>974.27</v>
      </c>
      <c r="L331" s="9">
        <v>211.21</v>
      </c>
      <c r="M331" s="9">
        <f t="shared" si="5"/>
        <v>108.25200000000001</v>
      </c>
    </row>
    <row r="332" spans="1:13" x14ac:dyDescent="0.3">
      <c r="A332" t="s">
        <v>556</v>
      </c>
      <c r="B332" s="1">
        <v>45761</v>
      </c>
      <c r="C332" t="s">
        <v>152</v>
      </c>
      <c r="D332" t="s">
        <v>40</v>
      </c>
      <c r="E332" t="s">
        <v>110</v>
      </c>
      <c r="F332" t="s">
        <v>42</v>
      </c>
      <c r="G332" t="s">
        <v>32</v>
      </c>
      <c r="H332">
        <v>4</v>
      </c>
      <c r="I332" s="12">
        <v>22.14</v>
      </c>
      <c r="J332" s="12">
        <v>0.1</v>
      </c>
      <c r="K332" s="9">
        <v>79.72</v>
      </c>
      <c r="L332" s="9">
        <v>18.07</v>
      </c>
      <c r="M332" s="9">
        <f t="shared" si="5"/>
        <v>8.8559999999999999</v>
      </c>
    </row>
    <row r="333" spans="1:13" x14ac:dyDescent="0.3">
      <c r="A333" t="s">
        <v>557</v>
      </c>
      <c r="B333" s="1">
        <v>45761</v>
      </c>
      <c r="C333" t="s">
        <v>520</v>
      </c>
      <c r="D333" t="s">
        <v>40</v>
      </c>
      <c r="E333" t="s">
        <v>110</v>
      </c>
      <c r="F333" t="s">
        <v>42</v>
      </c>
      <c r="G333" t="s">
        <v>32</v>
      </c>
      <c r="H333">
        <v>4</v>
      </c>
      <c r="I333" s="12">
        <v>22.99</v>
      </c>
      <c r="J333" s="12">
        <v>0.15</v>
      </c>
      <c r="K333" s="9">
        <v>78.16</v>
      </c>
      <c r="L333" s="9">
        <v>15.17</v>
      </c>
      <c r="M333" s="9">
        <f t="shared" si="5"/>
        <v>13.793999999999999</v>
      </c>
    </row>
    <row r="334" spans="1:13" x14ac:dyDescent="0.3">
      <c r="A334" t="s">
        <v>558</v>
      </c>
      <c r="B334" s="1">
        <v>45761</v>
      </c>
      <c r="C334" t="s">
        <v>236</v>
      </c>
      <c r="D334" t="s">
        <v>25</v>
      </c>
      <c r="E334" t="s">
        <v>54</v>
      </c>
      <c r="F334" t="s">
        <v>27</v>
      </c>
      <c r="G334" t="s">
        <v>22</v>
      </c>
      <c r="H334">
        <v>1</v>
      </c>
      <c r="I334" s="12">
        <v>27.27</v>
      </c>
      <c r="J334" s="12">
        <v>0.1</v>
      </c>
      <c r="K334" s="9">
        <v>24.54</v>
      </c>
      <c r="L334" s="9">
        <v>2.9</v>
      </c>
      <c r="M334" s="9">
        <f t="shared" si="5"/>
        <v>2.7270000000000003</v>
      </c>
    </row>
    <row r="335" spans="1:13" x14ac:dyDescent="0.3">
      <c r="A335" t="s">
        <v>559</v>
      </c>
      <c r="B335" s="1">
        <v>45761</v>
      </c>
      <c r="C335" t="s">
        <v>385</v>
      </c>
      <c r="D335" t="s">
        <v>25</v>
      </c>
      <c r="E335" t="s">
        <v>26</v>
      </c>
      <c r="F335" t="s">
        <v>27</v>
      </c>
      <c r="G335" t="s">
        <v>17</v>
      </c>
      <c r="H335">
        <v>1</v>
      </c>
      <c r="I335" s="12">
        <v>78.5</v>
      </c>
      <c r="J335" s="12">
        <v>0.05</v>
      </c>
      <c r="K335" s="9">
        <v>74.569999999999993</v>
      </c>
      <c r="L335" s="9">
        <v>14.49</v>
      </c>
      <c r="M335" s="9">
        <f t="shared" si="5"/>
        <v>3.9250000000000003</v>
      </c>
    </row>
    <row r="336" spans="1:13" x14ac:dyDescent="0.3">
      <c r="A336" t="s">
        <v>560</v>
      </c>
      <c r="B336" s="1">
        <v>45762</v>
      </c>
      <c r="C336" t="s">
        <v>304</v>
      </c>
      <c r="D336" t="s">
        <v>14</v>
      </c>
      <c r="E336" t="s">
        <v>92</v>
      </c>
      <c r="F336" t="s">
        <v>16</v>
      </c>
      <c r="G336" t="s">
        <v>28</v>
      </c>
      <c r="H336">
        <v>4</v>
      </c>
      <c r="I336" s="12">
        <v>8.33</v>
      </c>
      <c r="J336" s="12">
        <v>0</v>
      </c>
      <c r="K336" s="9">
        <v>33.299999999999997</v>
      </c>
      <c r="L336" s="9">
        <v>5.82</v>
      </c>
      <c r="M336" s="9">
        <f t="shared" si="5"/>
        <v>0</v>
      </c>
    </row>
    <row r="337" spans="1:13" x14ac:dyDescent="0.3">
      <c r="A337" t="s">
        <v>561</v>
      </c>
      <c r="B337" s="1">
        <v>45762</v>
      </c>
      <c r="C337" t="s">
        <v>547</v>
      </c>
      <c r="D337" t="s">
        <v>25</v>
      </c>
      <c r="E337" t="s">
        <v>20</v>
      </c>
      <c r="F337" t="s">
        <v>21</v>
      </c>
      <c r="G337" t="s">
        <v>17</v>
      </c>
      <c r="H337">
        <v>3</v>
      </c>
      <c r="I337" s="12">
        <v>172.54</v>
      </c>
      <c r="J337" s="12">
        <v>0.1</v>
      </c>
      <c r="K337" s="9">
        <v>465.85</v>
      </c>
      <c r="L337" s="9">
        <v>34.25</v>
      </c>
      <c r="M337" s="9">
        <f t="shared" si="5"/>
        <v>51.762</v>
      </c>
    </row>
    <row r="338" spans="1:13" x14ac:dyDescent="0.3">
      <c r="A338" t="s">
        <v>562</v>
      </c>
      <c r="B338" s="1">
        <v>45762</v>
      </c>
      <c r="C338" t="s">
        <v>563</v>
      </c>
      <c r="D338" t="s">
        <v>40</v>
      </c>
      <c r="E338" t="s">
        <v>37</v>
      </c>
      <c r="F338" t="s">
        <v>27</v>
      </c>
      <c r="G338" t="s">
        <v>17</v>
      </c>
      <c r="H338">
        <v>1</v>
      </c>
      <c r="I338" s="12">
        <v>206.55</v>
      </c>
      <c r="J338" s="12">
        <v>0</v>
      </c>
      <c r="K338" s="9">
        <v>206.55</v>
      </c>
      <c r="L338" s="9">
        <v>55.48</v>
      </c>
      <c r="M338" s="9">
        <f t="shared" si="5"/>
        <v>0</v>
      </c>
    </row>
    <row r="339" spans="1:13" x14ac:dyDescent="0.3">
      <c r="A339" t="s">
        <v>564</v>
      </c>
      <c r="B339" s="1">
        <v>45762</v>
      </c>
      <c r="C339" t="s">
        <v>565</v>
      </c>
      <c r="D339" t="s">
        <v>14</v>
      </c>
      <c r="E339" t="s">
        <v>26</v>
      </c>
      <c r="F339" t="s">
        <v>27</v>
      </c>
      <c r="G339" t="s">
        <v>17</v>
      </c>
      <c r="H339">
        <v>2</v>
      </c>
      <c r="I339" s="12">
        <v>76.72</v>
      </c>
      <c r="J339" s="12">
        <v>0.15</v>
      </c>
      <c r="K339" s="9">
        <v>130.41999999999999</v>
      </c>
      <c r="L339" s="9">
        <v>27.76</v>
      </c>
      <c r="M339" s="9">
        <f t="shared" si="5"/>
        <v>23.015999999999998</v>
      </c>
    </row>
    <row r="340" spans="1:13" x14ac:dyDescent="0.3">
      <c r="A340" t="s">
        <v>566</v>
      </c>
      <c r="B340" s="1">
        <v>45763</v>
      </c>
      <c r="C340" t="s">
        <v>91</v>
      </c>
      <c r="D340" t="s">
        <v>40</v>
      </c>
      <c r="E340" t="s">
        <v>37</v>
      </c>
      <c r="F340" t="s">
        <v>27</v>
      </c>
      <c r="G340" t="s">
        <v>28</v>
      </c>
      <c r="H340">
        <v>2</v>
      </c>
      <c r="I340" s="12">
        <v>208.14</v>
      </c>
      <c r="J340" s="12">
        <v>0.05</v>
      </c>
      <c r="K340" s="9">
        <v>395.47</v>
      </c>
      <c r="L340" s="9">
        <v>40.79</v>
      </c>
      <c r="M340" s="9">
        <f t="shared" si="5"/>
        <v>20.814</v>
      </c>
    </row>
    <row r="341" spans="1:13" x14ac:dyDescent="0.3">
      <c r="A341" t="s">
        <v>567</v>
      </c>
      <c r="B341" s="1">
        <v>45763</v>
      </c>
      <c r="C341" t="s">
        <v>516</v>
      </c>
      <c r="D341" t="s">
        <v>14</v>
      </c>
      <c r="E341" t="s">
        <v>51</v>
      </c>
      <c r="F341" t="s">
        <v>27</v>
      </c>
      <c r="G341" t="s">
        <v>22</v>
      </c>
      <c r="H341">
        <v>1</v>
      </c>
      <c r="I341" s="12">
        <v>977.51</v>
      </c>
      <c r="J341" s="12">
        <v>0.1</v>
      </c>
      <c r="K341" s="9">
        <v>879.76</v>
      </c>
      <c r="L341" s="9">
        <v>122.53</v>
      </c>
      <c r="M341" s="9">
        <f t="shared" si="5"/>
        <v>97.751000000000005</v>
      </c>
    </row>
    <row r="342" spans="1:13" x14ac:dyDescent="0.3">
      <c r="A342" t="s">
        <v>568</v>
      </c>
      <c r="B342" s="1">
        <v>45763</v>
      </c>
      <c r="C342" t="s">
        <v>569</v>
      </c>
      <c r="D342" t="s">
        <v>40</v>
      </c>
      <c r="E342" t="s">
        <v>41</v>
      </c>
      <c r="F342" t="s">
        <v>42</v>
      </c>
      <c r="G342" t="s">
        <v>32</v>
      </c>
      <c r="H342">
        <v>2</v>
      </c>
      <c r="I342" s="12">
        <v>49.82</v>
      </c>
      <c r="J342" s="12">
        <v>0.1</v>
      </c>
      <c r="K342" s="9">
        <v>89.68</v>
      </c>
      <c r="L342" s="9">
        <v>15.47</v>
      </c>
      <c r="M342" s="9">
        <f t="shared" si="5"/>
        <v>9.9640000000000004</v>
      </c>
    </row>
    <row r="343" spans="1:13" x14ac:dyDescent="0.3">
      <c r="A343" t="s">
        <v>570</v>
      </c>
      <c r="B343" s="1">
        <v>45763</v>
      </c>
      <c r="C343" t="s">
        <v>571</v>
      </c>
      <c r="D343" t="s">
        <v>14</v>
      </c>
      <c r="E343" t="s">
        <v>31</v>
      </c>
      <c r="F343" t="s">
        <v>21</v>
      </c>
      <c r="G343" t="s">
        <v>28</v>
      </c>
      <c r="H343">
        <v>2</v>
      </c>
      <c r="I343" s="12">
        <v>45</v>
      </c>
      <c r="J343" s="12">
        <v>0.2</v>
      </c>
      <c r="K343" s="9">
        <v>72.010000000000005</v>
      </c>
      <c r="L343" s="9">
        <v>3.48</v>
      </c>
      <c r="M343" s="9">
        <f t="shared" si="5"/>
        <v>18</v>
      </c>
    </row>
    <row r="344" spans="1:13" x14ac:dyDescent="0.3">
      <c r="A344" t="s">
        <v>572</v>
      </c>
      <c r="B344" s="1">
        <v>45764</v>
      </c>
      <c r="C344" t="s">
        <v>573</v>
      </c>
      <c r="D344" t="s">
        <v>14</v>
      </c>
      <c r="E344" t="s">
        <v>54</v>
      </c>
      <c r="F344" t="s">
        <v>27</v>
      </c>
      <c r="G344" t="s">
        <v>32</v>
      </c>
      <c r="H344">
        <v>3</v>
      </c>
      <c r="I344" s="12">
        <v>28.21</v>
      </c>
      <c r="J344" s="12">
        <v>0.05</v>
      </c>
      <c r="K344" s="9">
        <v>80.400000000000006</v>
      </c>
      <c r="L344" s="9">
        <v>21.59</v>
      </c>
      <c r="M344" s="9">
        <f t="shared" si="5"/>
        <v>4.2314999999999996</v>
      </c>
    </row>
    <row r="345" spans="1:13" x14ac:dyDescent="0.3">
      <c r="A345" t="s">
        <v>574</v>
      </c>
      <c r="B345" s="1">
        <v>45764</v>
      </c>
      <c r="C345" t="s">
        <v>389</v>
      </c>
      <c r="D345" t="s">
        <v>25</v>
      </c>
      <c r="E345" t="s">
        <v>41</v>
      </c>
      <c r="F345" t="s">
        <v>42</v>
      </c>
      <c r="G345" t="s">
        <v>17</v>
      </c>
      <c r="H345">
        <v>1</v>
      </c>
      <c r="I345" s="12">
        <v>52.55</v>
      </c>
      <c r="J345" s="12">
        <v>0.1</v>
      </c>
      <c r="K345" s="9">
        <v>47.29</v>
      </c>
      <c r="L345" s="9">
        <v>11.03</v>
      </c>
      <c r="M345" s="9">
        <f t="shared" si="5"/>
        <v>5.2549999999999999</v>
      </c>
    </row>
    <row r="346" spans="1:13" x14ac:dyDescent="0.3">
      <c r="A346" t="s">
        <v>575</v>
      </c>
      <c r="B346" s="1">
        <v>45764</v>
      </c>
      <c r="C346" t="s">
        <v>246</v>
      </c>
      <c r="D346" t="s">
        <v>14</v>
      </c>
      <c r="E346" t="s">
        <v>41</v>
      </c>
      <c r="F346" t="s">
        <v>42</v>
      </c>
      <c r="G346" t="s">
        <v>32</v>
      </c>
      <c r="H346">
        <v>2</v>
      </c>
      <c r="I346" s="12">
        <v>57.68</v>
      </c>
      <c r="J346" s="12">
        <v>0</v>
      </c>
      <c r="K346" s="9">
        <v>115.37</v>
      </c>
      <c r="L346" s="9">
        <v>30.44</v>
      </c>
      <c r="M346" s="9">
        <f t="shared" si="5"/>
        <v>0</v>
      </c>
    </row>
    <row r="347" spans="1:13" x14ac:dyDescent="0.3">
      <c r="A347" t="s">
        <v>576</v>
      </c>
      <c r="B347" s="1">
        <v>45764</v>
      </c>
      <c r="C347" t="s">
        <v>389</v>
      </c>
      <c r="D347" t="s">
        <v>14</v>
      </c>
      <c r="E347" t="s">
        <v>31</v>
      </c>
      <c r="F347" t="s">
        <v>21</v>
      </c>
      <c r="G347" t="s">
        <v>28</v>
      </c>
      <c r="H347">
        <v>5</v>
      </c>
      <c r="I347" s="12">
        <v>40.99</v>
      </c>
      <c r="J347" s="12">
        <v>0.1</v>
      </c>
      <c r="K347" s="9">
        <v>184.47</v>
      </c>
      <c r="L347" s="9">
        <v>17.940000000000001</v>
      </c>
      <c r="M347" s="9">
        <f t="shared" si="5"/>
        <v>20.495000000000005</v>
      </c>
    </row>
    <row r="348" spans="1:13" x14ac:dyDescent="0.3">
      <c r="A348" t="s">
        <v>577</v>
      </c>
      <c r="B348" s="1">
        <v>45764</v>
      </c>
      <c r="C348" t="s">
        <v>578</v>
      </c>
      <c r="D348" t="s">
        <v>25</v>
      </c>
      <c r="E348" t="s">
        <v>20</v>
      </c>
      <c r="F348" t="s">
        <v>21</v>
      </c>
      <c r="G348" t="s">
        <v>28</v>
      </c>
      <c r="H348">
        <v>1</v>
      </c>
      <c r="I348" s="12">
        <v>167.96</v>
      </c>
      <c r="J348" s="12">
        <v>0.05</v>
      </c>
      <c r="K348" s="9">
        <v>159.56</v>
      </c>
      <c r="L348" s="9">
        <v>33.479999999999997</v>
      </c>
      <c r="M348" s="9">
        <f t="shared" si="5"/>
        <v>8.3980000000000015</v>
      </c>
    </row>
    <row r="349" spans="1:13" x14ac:dyDescent="0.3">
      <c r="A349" t="s">
        <v>579</v>
      </c>
      <c r="B349" s="1">
        <v>45764</v>
      </c>
      <c r="C349" t="s">
        <v>193</v>
      </c>
      <c r="D349" t="s">
        <v>40</v>
      </c>
      <c r="E349" t="s">
        <v>65</v>
      </c>
      <c r="F349" t="s">
        <v>16</v>
      </c>
      <c r="G349" t="s">
        <v>17</v>
      </c>
      <c r="H349">
        <v>2</v>
      </c>
      <c r="I349" s="12">
        <v>16.600000000000001</v>
      </c>
      <c r="J349" s="12">
        <v>0.1</v>
      </c>
      <c r="K349" s="9">
        <v>29.89</v>
      </c>
      <c r="L349" s="9">
        <v>6.78</v>
      </c>
      <c r="M349" s="9">
        <f t="shared" si="5"/>
        <v>3.3200000000000003</v>
      </c>
    </row>
    <row r="350" spans="1:13" x14ac:dyDescent="0.3">
      <c r="A350" t="s">
        <v>580</v>
      </c>
      <c r="B350" s="1">
        <v>45764</v>
      </c>
      <c r="C350" t="s">
        <v>581</v>
      </c>
      <c r="D350" t="s">
        <v>25</v>
      </c>
      <c r="E350" t="s">
        <v>110</v>
      </c>
      <c r="F350" t="s">
        <v>42</v>
      </c>
      <c r="G350" t="s">
        <v>17</v>
      </c>
      <c r="H350">
        <v>3</v>
      </c>
      <c r="I350" s="12">
        <v>21.9</v>
      </c>
      <c r="J350" s="12">
        <v>0</v>
      </c>
      <c r="K350" s="9">
        <v>65.7</v>
      </c>
      <c r="L350" s="9">
        <v>14.69</v>
      </c>
      <c r="M350" s="9">
        <f t="shared" si="5"/>
        <v>0</v>
      </c>
    </row>
    <row r="351" spans="1:13" x14ac:dyDescent="0.3">
      <c r="A351" t="s">
        <v>582</v>
      </c>
      <c r="B351" s="1">
        <v>45764</v>
      </c>
      <c r="C351" t="s">
        <v>224</v>
      </c>
      <c r="D351" t="s">
        <v>14</v>
      </c>
      <c r="E351" t="s">
        <v>26</v>
      </c>
      <c r="F351" t="s">
        <v>27</v>
      </c>
      <c r="G351" t="s">
        <v>32</v>
      </c>
      <c r="H351">
        <v>3</v>
      </c>
      <c r="I351" s="12">
        <v>76.89</v>
      </c>
      <c r="J351" s="12">
        <v>0</v>
      </c>
      <c r="K351" s="9">
        <v>230.67</v>
      </c>
      <c r="L351" s="9">
        <v>25.4</v>
      </c>
      <c r="M351" s="9">
        <f t="shared" si="5"/>
        <v>0</v>
      </c>
    </row>
    <row r="352" spans="1:13" x14ac:dyDescent="0.3">
      <c r="A352" t="s">
        <v>583</v>
      </c>
      <c r="B352" s="1">
        <v>45765</v>
      </c>
      <c r="C352" t="s">
        <v>502</v>
      </c>
      <c r="D352" t="s">
        <v>40</v>
      </c>
      <c r="E352" t="s">
        <v>54</v>
      </c>
      <c r="F352" t="s">
        <v>27</v>
      </c>
      <c r="G352" t="s">
        <v>17</v>
      </c>
      <c r="H352">
        <v>1</v>
      </c>
      <c r="I352" s="12">
        <v>29.3</v>
      </c>
      <c r="J352" s="12">
        <v>0.05</v>
      </c>
      <c r="K352" s="9">
        <v>27.84</v>
      </c>
      <c r="L352" s="9">
        <v>6.9</v>
      </c>
      <c r="M352" s="9">
        <f t="shared" si="5"/>
        <v>1.4650000000000001</v>
      </c>
    </row>
    <row r="353" spans="1:13" x14ac:dyDescent="0.3">
      <c r="A353" t="s">
        <v>584</v>
      </c>
      <c r="B353" s="1">
        <v>45765</v>
      </c>
      <c r="C353" t="s">
        <v>585</v>
      </c>
      <c r="D353" t="s">
        <v>40</v>
      </c>
      <c r="E353" t="s">
        <v>51</v>
      </c>
      <c r="F353" t="s">
        <v>27</v>
      </c>
      <c r="G353" t="s">
        <v>28</v>
      </c>
      <c r="H353">
        <v>3</v>
      </c>
      <c r="I353" s="12">
        <v>939.88</v>
      </c>
      <c r="J353" s="12">
        <v>0</v>
      </c>
      <c r="K353" s="9">
        <v>2819.63</v>
      </c>
      <c r="L353" s="9">
        <v>295.19</v>
      </c>
      <c r="M353" s="9">
        <f t="shared" si="5"/>
        <v>0</v>
      </c>
    </row>
    <row r="354" spans="1:13" x14ac:dyDescent="0.3">
      <c r="A354" t="s">
        <v>586</v>
      </c>
      <c r="B354" s="1">
        <v>45765</v>
      </c>
      <c r="C354" t="s">
        <v>587</v>
      </c>
      <c r="D354" t="s">
        <v>40</v>
      </c>
      <c r="E354" t="s">
        <v>37</v>
      </c>
      <c r="F354" t="s">
        <v>27</v>
      </c>
      <c r="G354" t="s">
        <v>28</v>
      </c>
      <c r="H354">
        <v>2</v>
      </c>
      <c r="I354" s="12">
        <v>211.99</v>
      </c>
      <c r="J354" s="12">
        <v>0</v>
      </c>
      <c r="K354" s="9">
        <v>423.99</v>
      </c>
      <c r="L354" s="9">
        <v>57.19</v>
      </c>
      <c r="M354" s="9">
        <f t="shared" si="5"/>
        <v>0</v>
      </c>
    </row>
    <row r="355" spans="1:13" x14ac:dyDescent="0.3">
      <c r="A355" t="s">
        <v>588</v>
      </c>
      <c r="B355" s="1">
        <v>45766</v>
      </c>
      <c r="C355" t="s">
        <v>324</v>
      </c>
      <c r="D355" t="s">
        <v>40</v>
      </c>
      <c r="E355" t="s">
        <v>41</v>
      </c>
      <c r="F355" t="s">
        <v>42</v>
      </c>
      <c r="G355" t="s">
        <v>32</v>
      </c>
      <c r="H355">
        <v>2</v>
      </c>
      <c r="I355" s="12">
        <v>59.39</v>
      </c>
      <c r="J355" s="12">
        <v>0</v>
      </c>
      <c r="K355" s="9">
        <v>118.79</v>
      </c>
      <c r="L355" s="9">
        <v>31.54</v>
      </c>
      <c r="M355" s="9">
        <f t="shared" si="5"/>
        <v>0</v>
      </c>
    </row>
    <row r="356" spans="1:13" x14ac:dyDescent="0.3">
      <c r="A356" t="s">
        <v>589</v>
      </c>
      <c r="B356" s="1">
        <v>45766</v>
      </c>
      <c r="C356" t="s">
        <v>387</v>
      </c>
      <c r="D356" t="s">
        <v>14</v>
      </c>
      <c r="E356" t="s">
        <v>15</v>
      </c>
      <c r="F356" t="s">
        <v>16</v>
      </c>
      <c r="G356" t="s">
        <v>32</v>
      </c>
      <c r="H356">
        <v>4</v>
      </c>
      <c r="I356" s="12">
        <v>12.8</v>
      </c>
      <c r="J356" s="12">
        <v>0</v>
      </c>
      <c r="K356" s="9">
        <v>51.2</v>
      </c>
      <c r="L356" s="9">
        <v>4.8</v>
      </c>
      <c r="M356" s="9">
        <f t="shared" si="5"/>
        <v>0</v>
      </c>
    </row>
    <row r="357" spans="1:13" x14ac:dyDescent="0.3">
      <c r="A357" t="s">
        <v>590</v>
      </c>
      <c r="B357" s="1">
        <v>45766</v>
      </c>
      <c r="C357" t="s">
        <v>591</v>
      </c>
      <c r="D357" t="s">
        <v>14</v>
      </c>
      <c r="E357" t="s">
        <v>65</v>
      </c>
      <c r="F357" t="s">
        <v>16</v>
      </c>
      <c r="G357" t="s">
        <v>17</v>
      </c>
      <c r="H357">
        <v>3</v>
      </c>
      <c r="I357" s="12">
        <v>16.75</v>
      </c>
      <c r="J357" s="12">
        <v>0.1</v>
      </c>
      <c r="K357" s="9">
        <v>45.23</v>
      </c>
      <c r="L357" s="9">
        <v>11.17</v>
      </c>
      <c r="M357" s="9">
        <f t="shared" si="5"/>
        <v>5.0250000000000004</v>
      </c>
    </row>
    <row r="358" spans="1:13" x14ac:dyDescent="0.3">
      <c r="A358" t="s">
        <v>592</v>
      </c>
      <c r="B358" s="1">
        <v>45766</v>
      </c>
      <c r="C358" t="s">
        <v>449</v>
      </c>
      <c r="D358" t="s">
        <v>14</v>
      </c>
      <c r="E358" t="s">
        <v>51</v>
      </c>
      <c r="F358" t="s">
        <v>27</v>
      </c>
      <c r="G358" t="s">
        <v>32</v>
      </c>
      <c r="H358">
        <v>1</v>
      </c>
      <c r="I358" s="12">
        <v>952.44</v>
      </c>
      <c r="J358" s="12">
        <v>0</v>
      </c>
      <c r="K358" s="9">
        <v>952.44</v>
      </c>
      <c r="L358" s="9">
        <v>237.12</v>
      </c>
      <c r="M358" s="9">
        <f t="shared" si="5"/>
        <v>0</v>
      </c>
    </row>
    <row r="359" spans="1:13" x14ac:dyDescent="0.3">
      <c r="A359" t="s">
        <v>593</v>
      </c>
      <c r="B359" s="1">
        <v>45767</v>
      </c>
      <c r="C359" t="s">
        <v>162</v>
      </c>
      <c r="D359" t="s">
        <v>25</v>
      </c>
      <c r="E359" t="s">
        <v>15</v>
      </c>
      <c r="F359" t="s">
        <v>16</v>
      </c>
      <c r="G359" t="s">
        <v>22</v>
      </c>
      <c r="H359">
        <v>1</v>
      </c>
      <c r="I359" s="12">
        <v>15.38</v>
      </c>
      <c r="J359" s="12">
        <v>0.05</v>
      </c>
      <c r="K359" s="9">
        <v>14.61</v>
      </c>
      <c r="L359" s="9">
        <v>3.54</v>
      </c>
      <c r="M359" s="9">
        <f t="shared" si="5"/>
        <v>0.76900000000000013</v>
      </c>
    </row>
    <row r="360" spans="1:13" x14ac:dyDescent="0.3">
      <c r="A360" t="s">
        <v>594</v>
      </c>
      <c r="B360" s="1">
        <v>45767</v>
      </c>
      <c r="C360" t="s">
        <v>563</v>
      </c>
      <c r="D360" t="s">
        <v>40</v>
      </c>
      <c r="E360" t="s">
        <v>26</v>
      </c>
      <c r="F360" t="s">
        <v>27</v>
      </c>
      <c r="G360" t="s">
        <v>28</v>
      </c>
      <c r="H360">
        <v>3</v>
      </c>
      <c r="I360" s="12">
        <v>76.819999999999993</v>
      </c>
      <c r="J360" s="12">
        <v>0.2</v>
      </c>
      <c r="K360" s="9">
        <v>184.37</v>
      </c>
      <c r="L360" s="9">
        <v>26.36</v>
      </c>
      <c r="M360" s="9">
        <f t="shared" si="5"/>
        <v>46.091999999999999</v>
      </c>
    </row>
    <row r="361" spans="1:13" x14ac:dyDescent="0.3">
      <c r="A361" t="s">
        <v>595</v>
      </c>
      <c r="B361" s="1">
        <v>45767</v>
      </c>
      <c r="C361" t="s">
        <v>332</v>
      </c>
      <c r="D361" t="s">
        <v>25</v>
      </c>
      <c r="E361" t="s">
        <v>110</v>
      </c>
      <c r="F361" t="s">
        <v>42</v>
      </c>
      <c r="G361" t="s">
        <v>17</v>
      </c>
      <c r="H361">
        <v>1</v>
      </c>
      <c r="I361" s="12">
        <v>22.2</v>
      </c>
      <c r="J361" s="12">
        <v>0.15</v>
      </c>
      <c r="K361" s="9">
        <v>18.87</v>
      </c>
      <c r="L361" s="9">
        <v>3.09</v>
      </c>
      <c r="M361" s="9">
        <f t="shared" si="5"/>
        <v>3.3299999999999996</v>
      </c>
    </row>
    <row r="362" spans="1:13" x14ac:dyDescent="0.3">
      <c r="A362" t="s">
        <v>596</v>
      </c>
      <c r="B362" s="1">
        <v>45767</v>
      </c>
      <c r="C362" t="s">
        <v>597</v>
      </c>
      <c r="D362" t="s">
        <v>40</v>
      </c>
      <c r="E362" t="s">
        <v>15</v>
      </c>
      <c r="F362" t="s">
        <v>16</v>
      </c>
      <c r="G362" t="s">
        <v>17</v>
      </c>
      <c r="H362">
        <v>2</v>
      </c>
      <c r="I362" s="12">
        <v>15.3</v>
      </c>
      <c r="J362" s="12">
        <v>0.1</v>
      </c>
      <c r="K362" s="9">
        <v>27.54</v>
      </c>
      <c r="L362" s="9">
        <v>2.17</v>
      </c>
      <c r="M362" s="9">
        <f t="shared" si="5"/>
        <v>3.0600000000000005</v>
      </c>
    </row>
    <row r="363" spans="1:13" x14ac:dyDescent="0.3">
      <c r="A363" t="s">
        <v>598</v>
      </c>
      <c r="B363" s="1">
        <v>45767</v>
      </c>
      <c r="C363" t="s">
        <v>264</v>
      </c>
      <c r="D363" t="s">
        <v>14</v>
      </c>
      <c r="E363" t="s">
        <v>20</v>
      </c>
      <c r="F363" t="s">
        <v>21</v>
      </c>
      <c r="G363" t="s">
        <v>22</v>
      </c>
      <c r="H363">
        <v>4</v>
      </c>
      <c r="I363" s="12">
        <v>167.16</v>
      </c>
      <c r="J363" s="12">
        <v>0.05</v>
      </c>
      <c r="K363" s="9">
        <v>635.20000000000005</v>
      </c>
      <c r="L363" s="9">
        <v>135.44999999999999</v>
      </c>
      <c r="M363" s="9">
        <f t="shared" si="5"/>
        <v>33.432000000000002</v>
      </c>
    </row>
    <row r="364" spans="1:13" x14ac:dyDescent="0.3">
      <c r="A364" t="s">
        <v>599</v>
      </c>
      <c r="B364" s="1">
        <v>45767</v>
      </c>
      <c r="C364" t="s">
        <v>600</v>
      </c>
      <c r="D364" t="s">
        <v>14</v>
      </c>
      <c r="E364" t="s">
        <v>110</v>
      </c>
      <c r="F364" t="s">
        <v>42</v>
      </c>
      <c r="G364" t="s">
        <v>28</v>
      </c>
      <c r="H364">
        <v>1</v>
      </c>
      <c r="I364" s="12">
        <v>22.34</v>
      </c>
      <c r="J364" s="12">
        <v>0</v>
      </c>
      <c r="K364" s="9">
        <v>22.34</v>
      </c>
      <c r="L364" s="9">
        <v>3.47</v>
      </c>
      <c r="M364" s="9">
        <f t="shared" si="5"/>
        <v>0</v>
      </c>
    </row>
    <row r="365" spans="1:13" x14ac:dyDescent="0.3">
      <c r="A365" t="s">
        <v>601</v>
      </c>
      <c r="B365" s="1">
        <v>45767</v>
      </c>
      <c r="C365" t="s">
        <v>195</v>
      </c>
      <c r="D365" t="s">
        <v>14</v>
      </c>
      <c r="E365" t="s">
        <v>56</v>
      </c>
      <c r="F365" t="s">
        <v>21</v>
      </c>
      <c r="G365" t="s">
        <v>28</v>
      </c>
      <c r="H365">
        <v>1</v>
      </c>
      <c r="I365" s="12">
        <v>349.44</v>
      </c>
      <c r="J365" s="12">
        <v>0</v>
      </c>
      <c r="K365" s="9">
        <v>349.44</v>
      </c>
      <c r="L365" s="9">
        <v>30.38</v>
      </c>
      <c r="M365" s="9">
        <f t="shared" si="5"/>
        <v>0</v>
      </c>
    </row>
    <row r="366" spans="1:13" x14ac:dyDescent="0.3">
      <c r="A366" t="s">
        <v>602</v>
      </c>
      <c r="B366" s="1">
        <v>45767</v>
      </c>
      <c r="C366" t="s">
        <v>581</v>
      </c>
      <c r="D366" t="s">
        <v>14</v>
      </c>
      <c r="E366" t="s">
        <v>65</v>
      </c>
      <c r="F366" t="s">
        <v>16</v>
      </c>
      <c r="G366" t="s">
        <v>17</v>
      </c>
      <c r="H366">
        <v>1</v>
      </c>
      <c r="I366" s="12">
        <v>19.45</v>
      </c>
      <c r="J366" s="12">
        <v>0</v>
      </c>
      <c r="K366" s="9">
        <v>19.45</v>
      </c>
      <c r="L366" s="9">
        <v>1.86</v>
      </c>
      <c r="M366" s="9">
        <f t="shared" si="5"/>
        <v>0</v>
      </c>
    </row>
    <row r="367" spans="1:13" x14ac:dyDescent="0.3">
      <c r="A367" t="s">
        <v>603</v>
      </c>
      <c r="B367" s="1">
        <v>45768</v>
      </c>
      <c r="C367" t="s">
        <v>604</v>
      </c>
      <c r="D367" t="s">
        <v>40</v>
      </c>
      <c r="E367" t="s">
        <v>51</v>
      </c>
      <c r="F367" t="s">
        <v>27</v>
      </c>
      <c r="G367" t="s">
        <v>17</v>
      </c>
      <c r="H367">
        <v>2</v>
      </c>
      <c r="I367" s="12">
        <v>975.21</v>
      </c>
      <c r="J367" s="12">
        <v>0</v>
      </c>
      <c r="K367" s="9">
        <v>1950.42</v>
      </c>
      <c r="L367" s="9">
        <v>536.76</v>
      </c>
      <c r="M367" s="9">
        <f t="shared" si="5"/>
        <v>0</v>
      </c>
    </row>
    <row r="368" spans="1:13" x14ac:dyDescent="0.3">
      <c r="A368" t="s">
        <v>605</v>
      </c>
      <c r="B368" s="1">
        <v>45768</v>
      </c>
      <c r="C368" t="s">
        <v>606</v>
      </c>
      <c r="D368" t="s">
        <v>14</v>
      </c>
      <c r="E368" t="s">
        <v>41</v>
      </c>
      <c r="F368" t="s">
        <v>42</v>
      </c>
      <c r="G368" t="s">
        <v>32</v>
      </c>
      <c r="H368">
        <v>1</v>
      </c>
      <c r="I368" s="12">
        <v>49.84</v>
      </c>
      <c r="J368" s="12">
        <v>0.1</v>
      </c>
      <c r="K368" s="9">
        <v>44.85</v>
      </c>
      <c r="L368" s="9">
        <v>7.94</v>
      </c>
      <c r="M368" s="9">
        <f t="shared" si="5"/>
        <v>4.9840000000000009</v>
      </c>
    </row>
    <row r="369" spans="1:13" x14ac:dyDescent="0.3">
      <c r="A369" t="s">
        <v>607</v>
      </c>
      <c r="B369" s="1">
        <v>45768</v>
      </c>
      <c r="C369" t="s">
        <v>608</v>
      </c>
      <c r="D369" t="s">
        <v>14</v>
      </c>
      <c r="E369" t="s">
        <v>56</v>
      </c>
      <c r="F369" t="s">
        <v>21</v>
      </c>
      <c r="G369" t="s">
        <v>32</v>
      </c>
      <c r="H369">
        <v>1</v>
      </c>
      <c r="I369" s="12">
        <v>354.78</v>
      </c>
      <c r="J369" s="12">
        <v>0.1</v>
      </c>
      <c r="K369" s="9">
        <v>319.3</v>
      </c>
      <c r="L369" s="9">
        <v>35.96</v>
      </c>
      <c r="M369" s="9">
        <f t="shared" si="5"/>
        <v>35.478000000000002</v>
      </c>
    </row>
    <row r="370" spans="1:13" x14ac:dyDescent="0.3">
      <c r="A370" t="s">
        <v>609</v>
      </c>
      <c r="B370" s="1">
        <v>45768</v>
      </c>
      <c r="C370" t="s">
        <v>610</v>
      </c>
      <c r="D370" t="s">
        <v>14</v>
      </c>
      <c r="E370" t="s">
        <v>65</v>
      </c>
      <c r="F370" t="s">
        <v>16</v>
      </c>
      <c r="G370" t="s">
        <v>28</v>
      </c>
      <c r="H370">
        <v>1</v>
      </c>
      <c r="I370" s="12">
        <v>18.13</v>
      </c>
      <c r="J370" s="12">
        <v>0</v>
      </c>
      <c r="K370" s="9">
        <v>18.13</v>
      </c>
      <c r="L370" s="9">
        <v>3.08</v>
      </c>
      <c r="M370" s="9">
        <f t="shared" si="5"/>
        <v>0</v>
      </c>
    </row>
    <row r="371" spans="1:13" x14ac:dyDescent="0.3">
      <c r="A371" t="s">
        <v>611</v>
      </c>
      <c r="B371" s="1">
        <v>45768</v>
      </c>
      <c r="C371" t="s">
        <v>217</v>
      </c>
      <c r="D371" t="s">
        <v>25</v>
      </c>
      <c r="E371" t="s">
        <v>92</v>
      </c>
      <c r="F371" t="s">
        <v>16</v>
      </c>
      <c r="G371" t="s">
        <v>22</v>
      </c>
      <c r="H371">
        <v>1</v>
      </c>
      <c r="I371" s="12">
        <v>9.83</v>
      </c>
      <c r="J371" s="12">
        <v>0.1</v>
      </c>
      <c r="K371" s="9">
        <v>8.85</v>
      </c>
      <c r="L371" s="9">
        <v>1.8</v>
      </c>
      <c r="M371" s="9">
        <f t="shared" si="5"/>
        <v>0.9830000000000001</v>
      </c>
    </row>
    <row r="372" spans="1:13" x14ac:dyDescent="0.3">
      <c r="A372" t="s">
        <v>612</v>
      </c>
      <c r="B372" s="1">
        <v>45768</v>
      </c>
      <c r="C372" t="s">
        <v>613</v>
      </c>
      <c r="D372" t="s">
        <v>40</v>
      </c>
      <c r="E372" t="s">
        <v>15</v>
      </c>
      <c r="F372" t="s">
        <v>16</v>
      </c>
      <c r="G372" t="s">
        <v>22</v>
      </c>
      <c r="H372">
        <v>1</v>
      </c>
      <c r="I372" s="12">
        <v>15.12</v>
      </c>
      <c r="J372" s="12">
        <v>0</v>
      </c>
      <c r="K372" s="9">
        <v>15.12</v>
      </c>
      <c r="L372" s="9">
        <v>3.05</v>
      </c>
      <c r="M372" s="9">
        <f t="shared" si="5"/>
        <v>0</v>
      </c>
    </row>
    <row r="373" spans="1:13" x14ac:dyDescent="0.3">
      <c r="A373" t="s">
        <v>614</v>
      </c>
      <c r="B373" s="1">
        <v>45769</v>
      </c>
      <c r="C373" t="s">
        <v>275</v>
      </c>
      <c r="D373" t="s">
        <v>14</v>
      </c>
      <c r="E373" t="s">
        <v>15</v>
      </c>
      <c r="F373" t="s">
        <v>16</v>
      </c>
      <c r="G373" t="s">
        <v>32</v>
      </c>
      <c r="H373">
        <v>1</v>
      </c>
      <c r="I373" s="12">
        <v>15.3</v>
      </c>
      <c r="J373" s="12">
        <v>0.2</v>
      </c>
      <c r="K373" s="9">
        <v>12.24</v>
      </c>
      <c r="L373" s="9">
        <v>1.31</v>
      </c>
      <c r="M373" s="9">
        <f t="shared" si="5"/>
        <v>3.0600000000000005</v>
      </c>
    </row>
    <row r="374" spans="1:13" x14ac:dyDescent="0.3">
      <c r="A374" t="s">
        <v>615</v>
      </c>
      <c r="B374" s="1">
        <v>45769</v>
      </c>
      <c r="C374" t="s">
        <v>159</v>
      </c>
      <c r="D374" t="s">
        <v>14</v>
      </c>
      <c r="E374" t="s">
        <v>110</v>
      </c>
      <c r="F374" t="s">
        <v>42</v>
      </c>
      <c r="G374" t="s">
        <v>32</v>
      </c>
      <c r="H374">
        <v>1</v>
      </c>
      <c r="I374" s="12">
        <v>20.239999999999998</v>
      </c>
      <c r="J374" s="12">
        <v>0.1</v>
      </c>
      <c r="K374" s="9">
        <v>18.21</v>
      </c>
      <c r="L374" s="9">
        <v>4.4400000000000004</v>
      </c>
      <c r="M374" s="9">
        <f t="shared" si="5"/>
        <v>2.024</v>
      </c>
    </row>
    <row r="375" spans="1:13" x14ac:dyDescent="0.3">
      <c r="A375" t="s">
        <v>616</v>
      </c>
      <c r="B375" s="1">
        <v>45769</v>
      </c>
      <c r="C375" t="s">
        <v>159</v>
      </c>
      <c r="D375" t="s">
        <v>40</v>
      </c>
      <c r="E375" t="s">
        <v>31</v>
      </c>
      <c r="F375" t="s">
        <v>21</v>
      </c>
      <c r="G375" t="s">
        <v>17</v>
      </c>
      <c r="H375">
        <v>1</v>
      </c>
      <c r="I375" s="12">
        <v>41.62</v>
      </c>
      <c r="J375" s="12">
        <v>0.15</v>
      </c>
      <c r="K375" s="9">
        <v>35.369999999999997</v>
      </c>
      <c r="L375" s="9">
        <v>7.04</v>
      </c>
      <c r="M375" s="9">
        <f t="shared" si="5"/>
        <v>6.2429999999999994</v>
      </c>
    </row>
    <row r="376" spans="1:13" x14ac:dyDescent="0.3">
      <c r="A376" t="s">
        <v>617</v>
      </c>
      <c r="B376" s="1">
        <v>45770</v>
      </c>
      <c r="C376" t="s">
        <v>89</v>
      </c>
      <c r="D376" t="s">
        <v>40</v>
      </c>
      <c r="E376" t="s">
        <v>110</v>
      </c>
      <c r="F376" t="s">
        <v>42</v>
      </c>
      <c r="G376" t="s">
        <v>17</v>
      </c>
      <c r="H376">
        <v>2</v>
      </c>
      <c r="I376" s="12">
        <v>23.92</v>
      </c>
      <c r="J376" s="12">
        <v>0.1</v>
      </c>
      <c r="K376" s="9">
        <v>43.06</v>
      </c>
      <c r="L376" s="9">
        <v>8.9700000000000006</v>
      </c>
      <c r="M376" s="9">
        <f t="shared" si="5"/>
        <v>4.7840000000000007</v>
      </c>
    </row>
    <row r="377" spans="1:13" x14ac:dyDescent="0.3">
      <c r="A377" t="s">
        <v>618</v>
      </c>
      <c r="B377" s="1">
        <v>45770</v>
      </c>
      <c r="C377" t="s">
        <v>234</v>
      </c>
      <c r="D377" t="s">
        <v>14</v>
      </c>
      <c r="E377" t="s">
        <v>41</v>
      </c>
      <c r="F377" t="s">
        <v>42</v>
      </c>
      <c r="G377" t="s">
        <v>28</v>
      </c>
      <c r="H377">
        <v>2</v>
      </c>
      <c r="I377" s="12">
        <v>52.54</v>
      </c>
      <c r="J377" s="12">
        <v>0.2</v>
      </c>
      <c r="K377" s="9">
        <v>84.06</v>
      </c>
      <c r="L377" s="9">
        <v>16.96</v>
      </c>
      <c r="M377" s="9">
        <f t="shared" si="5"/>
        <v>21.016000000000002</v>
      </c>
    </row>
    <row r="378" spans="1:13" x14ac:dyDescent="0.3">
      <c r="A378" t="s">
        <v>619</v>
      </c>
      <c r="B378" s="1">
        <v>45770</v>
      </c>
      <c r="C378" t="s">
        <v>226</v>
      </c>
      <c r="D378" t="s">
        <v>14</v>
      </c>
      <c r="E378" t="s">
        <v>37</v>
      </c>
      <c r="F378" t="s">
        <v>27</v>
      </c>
      <c r="G378" t="s">
        <v>17</v>
      </c>
      <c r="H378">
        <v>2</v>
      </c>
      <c r="I378" s="12">
        <v>209.77</v>
      </c>
      <c r="J378" s="12">
        <v>0.1</v>
      </c>
      <c r="K378" s="9">
        <v>377.59</v>
      </c>
      <c r="L378" s="9">
        <v>38.33</v>
      </c>
      <c r="M378" s="9">
        <f t="shared" si="5"/>
        <v>41.954000000000008</v>
      </c>
    </row>
    <row r="379" spans="1:13" x14ac:dyDescent="0.3">
      <c r="A379" t="s">
        <v>620</v>
      </c>
      <c r="B379" s="1">
        <v>45770</v>
      </c>
      <c r="C379" t="s">
        <v>254</v>
      </c>
      <c r="D379" t="s">
        <v>14</v>
      </c>
      <c r="E379" t="s">
        <v>41</v>
      </c>
      <c r="F379" t="s">
        <v>42</v>
      </c>
      <c r="G379" t="s">
        <v>17</v>
      </c>
      <c r="H379">
        <v>1</v>
      </c>
      <c r="I379" s="12">
        <v>53.17</v>
      </c>
      <c r="J379" s="12">
        <v>0.1</v>
      </c>
      <c r="K379" s="9">
        <v>47.86</v>
      </c>
      <c r="L379" s="9">
        <v>9.83</v>
      </c>
      <c r="M379" s="9">
        <f t="shared" si="5"/>
        <v>5.3170000000000002</v>
      </c>
    </row>
    <row r="380" spans="1:13" x14ac:dyDescent="0.3">
      <c r="A380" t="s">
        <v>621</v>
      </c>
      <c r="B380" s="1">
        <v>45771</v>
      </c>
      <c r="C380" t="s">
        <v>87</v>
      </c>
      <c r="D380" t="s">
        <v>14</v>
      </c>
      <c r="E380" t="s">
        <v>37</v>
      </c>
      <c r="F380" t="s">
        <v>27</v>
      </c>
      <c r="G380" t="s">
        <v>28</v>
      </c>
      <c r="H380">
        <v>2</v>
      </c>
      <c r="I380" s="12">
        <v>224.72</v>
      </c>
      <c r="J380" s="12">
        <v>0.05</v>
      </c>
      <c r="K380" s="9">
        <v>426.96</v>
      </c>
      <c r="L380" s="9">
        <v>49.8</v>
      </c>
      <c r="M380" s="9">
        <f t="shared" si="5"/>
        <v>22.472000000000001</v>
      </c>
    </row>
    <row r="381" spans="1:13" x14ac:dyDescent="0.3">
      <c r="A381" t="s">
        <v>622</v>
      </c>
      <c r="B381" s="1">
        <v>45771</v>
      </c>
      <c r="C381" t="s">
        <v>94</v>
      </c>
      <c r="D381" t="s">
        <v>40</v>
      </c>
      <c r="E381" t="s">
        <v>15</v>
      </c>
      <c r="F381" t="s">
        <v>16</v>
      </c>
      <c r="G381" t="s">
        <v>28</v>
      </c>
      <c r="H381">
        <v>1</v>
      </c>
      <c r="I381" s="12">
        <v>15.04</v>
      </c>
      <c r="J381" s="12">
        <v>0.1</v>
      </c>
      <c r="K381" s="9">
        <v>13.54</v>
      </c>
      <c r="L381" s="9">
        <v>0.83</v>
      </c>
      <c r="M381" s="9">
        <f t="shared" si="5"/>
        <v>1.504</v>
      </c>
    </row>
    <row r="382" spans="1:13" x14ac:dyDescent="0.3">
      <c r="A382" t="s">
        <v>623</v>
      </c>
      <c r="B382" s="1">
        <v>45772</v>
      </c>
      <c r="C382" t="s">
        <v>423</v>
      </c>
      <c r="D382" t="s">
        <v>14</v>
      </c>
      <c r="E382" t="s">
        <v>51</v>
      </c>
      <c r="F382" t="s">
        <v>27</v>
      </c>
      <c r="G382" t="s">
        <v>28</v>
      </c>
      <c r="H382">
        <v>1</v>
      </c>
      <c r="I382" s="12">
        <v>927.11</v>
      </c>
      <c r="J382" s="12">
        <v>0.05</v>
      </c>
      <c r="K382" s="9">
        <v>880.75</v>
      </c>
      <c r="L382" s="9">
        <v>101.27</v>
      </c>
      <c r="M382" s="9">
        <f t="shared" si="5"/>
        <v>46.355500000000006</v>
      </c>
    </row>
    <row r="383" spans="1:13" x14ac:dyDescent="0.3">
      <c r="A383" t="s">
        <v>624</v>
      </c>
      <c r="B383" s="1">
        <v>45772</v>
      </c>
      <c r="C383" t="s">
        <v>625</v>
      </c>
      <c r="D383" t="s">
        <v>14</v>
      </c>
      <c r="E383" t="s">
        <v>110</v>
      </c>
      <c r="F383" t="s">
        <v>42</v>
      </c>
      <c r="G383" t="s">
        <v>17</v>
      </c>
      <c r="H383">
        <v>2</v>
      </c>
      <c r="I383" s="12">
        <v>20.54</v>
      </c>
      <c r="J383" s="12">
        <v>0.05</v>
      </c>
      <c r="K383" s="9">
        <v>39.03</v>
      </c>
      <c r="L383" s="9">
        <v>8.48</v>
      </c>
      <c r="M383" s="9">
        <f t="shared" si="5"/>
        <v>2.0539999999999998</v>
      </c>
    </row>
    <row r="384" spans="1:13" x14ac:dyDescent="0.3">
      <c r="A384" t="s">
        <v>626</v>
      </c>
      <c r="B384" s="1">
        <v>45772</v>
      </c>
      <c r="C384" t="s">
        <v>341</v>
      </c>
      <c r="D384" t="s">
        <v>14</v>
      </c>
      <c r="E384" t="s">
        <v>54</v>
      </c>
      <c r="F384" t="s">
        <v>27</v>
      </c>
      <c r="G384" t="s">
        <v>32</v>
      </c>
      <c r="H384">
        <v>1</v>
      </c>
      <c r="I384" s="12">
        <v>25.67</v>
      </c>
      <c r="J384" s="12">
        <v>0.05</v>
      </c>
      <c r="K384" s="9">
        <v>24.39</v>
      </c>
      <c r="L384" s="9">
        <v>5.0599999999999996</v>
      </c>
      <c r="M384" s="9">
        <f t="shared" si="5"/>
        <v>1.2835000000000001</v>
      </c>
    </row>
    <row r="385" spans="1:13" x14ac:dyDescent="0.3">
      <c r="A385" t="s">
        <v>627</v>
      </c>
      <c r="B385" s="1">
        <v>45772</v>
      </c>
      <c r="C385" t="s">
        <v>313</v>
      </c>
      <c r="D385" t="s">
        <v>40</v>
      </c>
      <c r="E385" t="s">
        <v>26</v>
      </c>
      <c r="F385" t="s">
        <v>27</v>
      </c>
      <c r="G385" t="s">
        <v>22</v>
      </c>
      <c r="H385">
        <v>2</v>
      </c>
      <c r="I385" s="12">
        <v>81.89</v>
      </c>
      <c r="J385" s="12">
        <v>0.15</v>
      </c>
      <c r="K385" s="9">
        <v>139.21</v>
      </c>
      <c r="L385" s="9">
        <v>16.829999999999998</v>
      </c>
      <c r="M385" s="9">
        <f t="shared" si="5"/>
        <v>24.567</v>
      </c>
    </row>
    <row r="386" spans="1:13" x14ac:dyDescent="0.3">
      <c r="A386" t="s">
        <v>628</v>
      </c>
      <c r="B386" s="1">
        <v>45772</v>
      </c>
      <c r="C386" t="s">
        <v>189</v>
      </c>
      <c r="D386" t="s">
        <v>14</v>
      </c>
      <c r="E386" t="s">
        <v>65</v>
      </c>
      <c r="F386" t="s">
        <v>16</v>
      </c>
      <c r="G386" t="s">
        <v>32</v>
      </c>
      <c r="H386">
        <v>3</v>
      </c>
      <c r="I386" s="12">
        <v>17.829999999999998</v>
      </c>
      <c r="J386" s="12">
        <v>0</v>
      </c>
      <c r="K386" s="9">
        <v>53.5</v>
      </c>
      <c r="L386" s="9">
        <v>9.6999999999999993</v>
      </c>
      <c r="M386" s="9">
        <f t="shared" si="5"/>
        <v>0</v>
      </c>
    </row>
    <row r="387" spans="1:13" x14ac:dyDescent="0.3">
      <c r="A387" t="s">
        <v>629</v>
      </c>
      <c r="B387" s="1">
        <v>45772</v>
      </c>
      <c r="C387" t="s">
        <v>630</v>
      </c>
      <c r="D387" t="s">
        <v>25</v>
      </c>
      <c r="E387" t="s">
        <v>65</v>
      </c>
      <c r="F387" t="s">
        <v>16</v>
      </c>
      <c r="G387" t="s">
        <v>22</v>
      </c>
      <c r="H387">
        <v>2</v>
      </c>
      <c r="I387" s="12">
        <v>18.93</v>
      </c>
      <c r="J387" s="12">
        <v>0.05</v>
      </c>
      <c r="K387" s="9">
        <v>35.97</v>
      </c>
      <c r="L387" s="9">
        <v>7.68</v>
      </c>
      <c r="M387" s="9">
        <f t="shared" ref="M387:M450" si="6">H387*I387*J387</f>
        <v>1.893</v>
      </c>
    </row>
    <row r="388" spans="1:13" x14ac:dyDescent="0.3">
      <c r="A388" t="s">
        <v>631</v>
      </c>
      <c r="B388" s="1">
        <v>45772</v>
      </c>
      <c r="C388" t="s">
        <v>412</v>
      </c>
      <c r="D388" t="s">
        <v>14</v>
      </c>
      <c r="E388" t="s">
        <v>110</v>
      </c>
      <c r="F388" t="s">
        <v>42</v>
      </c>
      <c r="G388" t="s">
        <v>22</v>
      </c>
      <c r="H388">
        <v>2</v>
      </c>
      <c r="I388" s="12">
        <v>23.12</v>
      </c>
      <c r="J388" s="12">
        <v>0.15</v>
      </c>
      <c r="K388" s="9">
        <v>39.31</v>
      </c>
      <c r="L388" s="9">
        <v>7.72</v>
      </c>
      <c r="M388" s="9">
        <f t="shared" si="6"/>
        <v>6.9359999999999999</v>
      </c>
    </row>
    <row r="389" spans="1:13" x14ac:dyDescent="0.3">
      <c r="A389" t="s">
        <v>632</v>
      </c>
      <c r="B389" s="1">
        <v>45773</v>
      </c>
      <c r="C389" t="s">
        <v>633</v>
      </c>
      <c r="D389" t="s">
        <v>14</v>
      </c>
      <c r="E389" t="s">
        <v>51</v>
      </c>
      <c r="F389" t="s">
        <v>27</v>
      </c>
      <c r="G389" t="s">
        <v>17</v>
      </c>
      <c r="H389">
        <v>2</v>
      </c>
      <c r="I389" s="12">
        <v>916.96</v>
      </c>
      <c r="J389" s="12">
        <v>0</v>
      </c>
      <c r="K389" s="9">
        <v>1833.92</v>
      </c>
      <c r="L389" s="9">
        <v>172.72</v>
      </c>
      <c r="M389" s="9">
        <f t="shared" si="6"/>
        <v>0</v>
      </c>
    </row>
    <row r="390" spans="1:13" x14ac:dyDescent="0.3">
      <c r="A390" t="s">
        <v>634</v>
      </c>
      <c r="B390" s="1">
        <v>45773</v>
      </c>
      <c r="C390" t="s">
        <v>635</v>
      </c>
      <c r="D390" t="s">
        <v>14</v>
      </c>
      <c r="E390" t="s">
        <v>65</v>
      </c>
      <c r="F390" t="s">
        <v>16</v>
      </c>
      <c r="G390" t="s">
        <v>17</v>
      </c>
      <c r="H390">
        <v>2</v>
      </c>
      <c r="I390" s="12">
        <v>19.079999999999998</v>
      </c>
      <c r="J390" s="12">
        <v>0.1</v>
      </c>
      <c r="K390" s="9">
        <v>34.35</v>
      </c>
      <c r="L390" s="9">
        <v>3.52</v>
      </c>
      <c r="M390" s="9">
        <f t="shared" si="6"/>
        <v>3.8159999999999998</v>
      </c>
    </row>
    <row r="391" spans="1:13" x14ac:dyDescent="0.3">
      <c r="A391" t="s">
        <v>636</v>
      </c>
      <c r="B391" s="1">
        <v>45775</v>
      </c>
      <c r="C391" t="s">
        <v>315</v>
      </c>
      <c r="D391" t="s">
        <v>40</v>
      </c>
      <c r="E391" t="s">
        <v>37</v>
      </c>
      <c r="F391" t="s">
        <v>27</v>
      </c>
      <c r="G391" t="s">
        <v>17</v>
      </c>
      <c r="H391">
        <v>2</v>
      </c>
      <c r="I391" s="12">
        <v>228.26</v>
      </c>
      <c r="J391" s="12">
        <v>0.05</v>
      </c>
      <c r="K391" s="9">
        <v>433.69</v>
      </c>
      <c r="L391" s="9">
        <v>52.81</v>
      </c>
      <c r="M391" s="9">
        <f t="shared" si="6"/>
        <v>22.826000000000001</v>
      </c>
    </row>
    <row r="392" spans="1:13" x14ac:dyDescent="0.3">
      <c r="A392" t="s">
        <v>637</v>
      </c>
      <c r="B392" s="1">
        <v>45775</v>
      </c>
      <c r="C392" t="s">
        <v>547</v>
      </c>
      <c r="D392" t="s">
        <v>40</v>
      </c>
      <c r="E392" t="s">
        <v>51</v>
      </c>
      <c r="F392" t="s">
        <v>27</v>
      </c>
      <c r="G392" t="s">
        <v>17</v>
      </c>
      <c r="H392">
        <v>3</v>
      </c>
      <c r="I392" s="12">
        <v>956.66</v>
      </c>
      <c r="J392" s="12">
        <v>0.1</v>
      </c>
      <c r="K392" s="9">
        <v>2582.9699999999998</v>
      </c>
      <c r="L392" s="9">
        <v>381.62</v>
      </c>
      <c r="M392" s="9">
        <f t="shared" si="6"/>
        <v>286.99799999999999</v>
      </c>
    </row>
    <row r="393" spans="1:13" x14ac:dyDescent="0.3">
      <c r="A393" t="s">
        <v>638</v>
      </c>
      <c r="B393" s="1">
        <v>45775</v>
      </c>
      <c r="C393" t="s">
        <v>128</v>
      </c>
      <c r="D393" t="s">
        <v>14</v>
      </c>
      <c r="E393" t="s">
        <v>56</v>
      </c>
      <c r="F393" t="s">
        <v>21</v>
      </c>
      <c r="G393" t="s">
        <v>17</v>
      </c>
      <c r="H393">
        <v>3</v>
      </c>
      <c r="I393" s="12">
        <v>322.02</v>
      </c>
      <c r="J393" s="12">
        <v>0</v>
      </c>
      <c r="K393" s="9">
        <v>966.06</v>
      </c>
      <c r="L393" s="9">
        <v>142.46</v>
      </c>
      <c r="M393" s="9">
        <f t="shared" si="6"/>
        <v>0</v>
      </c>
    </row>
    <row r="394" spans="1:13" x14ac:dyDescent="0.3">
      <c r="A394" t="s">
        <v>639</v>
      </c>
      <c r="B394" s="1">
        <v>45775</v>
      </c>
      <c r="C394" t="s">
        <v>640</v>
      </c>
      <c r="D394" t="s">
        <v>40</v>
      </c>
      <c r="E394" t="s">
        <v>65</v>
      </c>
      <c r="F394" t="s">
        <v>16</v>
      </c>
      <c r="G394" t="s">
        <v>17</v>
      </c>
      <c r="H394">
        <v>1</v>
      </c>
      <c r="I394" s="12">
        <v>18.32</v>
      </c>
      <c r="J394" s="12">
        <v>0.05</v>
      </c>
      <c r="K394" s="9">
        <v>17.399999999999999</v>
      </c>
      <c r="L394" s="9">
        <v>4.53</v>
      </c>
      <c r="M394" s="9">
        <f t="shared" si="6"/>
        <v>0.91600000000000004</v>
      </c>
    </row>
    <row r="395" spans="1:13" x14ac:dyDescent="0.3">
      <c r="A395" t="s">
        <v>641</v>
      </c>
      <c r="B395" s="1">
        <v>45776</v>
      </c>
      <c r="C395" t="s">
        <v>436</v>
      </c>
      <c r="D395" t="s">
        <v>40</v>
      </c>
      <c r="E395" t="s">
        <v>31</v>
      </c>
      <c r="F395" t="s">
        <v>21</v>
      </c>
      <c r="G395" t="s">
        <v>17</v>
      </c>
      <c r="H395">
        <v>1</v>
      </c>
      <c r="I395" s="12">
        <v>42.52</v>
      </c>
      <c r="J395" s="12">
        <v>0.05</v>
      </c>
      <c r="K395" s="9">
        <v>40.39</v>
      </c>
      <c r="L395" s="9">
        <v>7.27</v>
      </c>
      <c r="M395" s="9">
        <f t="shared" si="6"/>
        <v>2.1260000000000003</v>
      </c>
    </row>
    <row r="396" spans="1:13" x14ac:dyDescent="0.3">
      <c r="A396" t="s">
        <v>642</v>
      </c>
      <c r="B396" s="1">
        <v>45776</v>
      </c>
      <c r="C396" t="s">
        <v>445</v>
      </c>
      <c r="D396" t="s">
        <v>14</v>
      </c>
      <c r="E396" t="s">
        <v>92</v>
      </c>
      <c r="F396" t="s">
        <v>16</v>
      </c>
      <c r="G396" t="s">
        <v>22</v>
      </c>
      <c r="H396">
        <v>3</v>
      </c>
      <c r="I396" s="12">
        <v>9.4600000000000009</v>
      </c>
      <c r="J396" s="12">
        <v>0</v>
      </c>
      <c r="K396" s="9">
        <v>28.38</v>
      </c>
      <c r="L396" s="9">
        <v>3.79</v>
      </c>
      <c r="M396" s="9">
        <f t="shared" si="6"/>
        <v>0</v>
      </c>
    </row>
    <row r="397" spans="1:13" x14ac:dyDescent="0.3">
      <c r="A397" t="s">
        <v>643</v>
      </c>
      <c r="B397" s="1">
        <v>45777</v>
      </c>
      <c r="C397" t="s">
        <v>644</v>
      </c>
      <c r="D397" t="s">
        <v>25</v>
      </c>
      <c r="E397" t="s">
        <v>41</v>
      </c>
      <c r="F397" t="s">
        <v>42</v>
      </c>
      <c r="G397" t="s">
        <v>32</v>
      </c>
      <c r="H397">
        <v>2</v>
      </c>
      <c r="I397" s="12">
        <v>59.44</v>
      </c>
      <c r="J397" s="12">
        <v>0.05</v>
      </c>
      <c r="K397" s="9">
        <v>112.93</v>
      </c>
      <c r="L397" s="9">
        <v>21.34</v>
      </c>
      <c r="M397" s="9">
        <f t="shared" si="6"/>
        <v>5.944</v>
      </c>
    </row>
    <row r="398" spans="1:13" x14ac:dyDescent="0.3">
      <c r="A398" t="s">
        <v>645</v>
      </c>
      <c r="B398" s="1">
        <v>45777</v>
      </c>
      <c r="C398" t="s">
        <v>646</v>
      </c>
      <c r="D398" t="s">
        <v>14</v>
      </c>
      <c r="E398" t="s">
        <v>56</v>
      </c>
      <c r="F398" t="s">
        <v>21</v>
      </c>
      <c r="G398" t="s">
        <v>28</v>
      </c>
      <c r="H398">
        <v>3</v>
      </c>
      <c r="I398" s="12">
        <v>316.23</v>
      </c>
      <c r="J398" s="12">
        <v>0</v>
      </c>
      <c r="K398" s="9">
        <v>948.68</v>
      </c>
      <c r="L398" s="9">
        <v>103.35</v>
      </c>
      <c r="M398" s="9">
        <f t="shared" si="6"/>
        <v>0</v>
      </c>
    </row>
    <row r="399" spans="1:13" x14ac:dyDescent="0.3">
      <c r="A399" t="s">
        <v>647</v>
      </c>
      <c r="B399" s="1">
        <v>45777</v>
      </c>
      <c r="C399" t="s">
        <v>520</v>
      </c>
      <c r="D399" t="s">
        <v>14</v>
      </c>
      <c r="E399" t="s">
        <v>31</v>
      </c>
      <c r="F399" t="s">
        <v>21</v>
      </c>
      <c r="G399" t="s">
        <v>32</v>
      </c>
      <c r="H399">
        <v>1</v>
      </c>
      <c r="I399" s="12">
        <v>38.94</v>
      </c>
      <c r="J399" s="12">
        <v>0</v>
      </c>
      <c r="K399" s="9">
        <v>38.94</v>
      </c>
      <c r="L399" s="9">
        <v>8.5299999999999994</v>
      </c>
      <c r="M399" s="9">
        <f t="shared" si="6"/>
        <v>0</v>
      </c>
    </row>
    <row r="400" spans="1:13" x14ac:dyDescent="0.3">
      <c r="A400" t="s">
        <v>648</v>
      </c>
      <c r="B400" s="1">
        <v>45777</v>
      </c>
      <c r="C400" t="s">
        <v>649</v>
      </c>
      <c r="D400" t="s">
        <v>14</v>
      </c>
      <c r="E400" t="s">
        <v>65</v>
      </c>
      <c r="F400" t="s">
        <v>16</v>
      </c>
      <c r="G400" t="s">
        <v>32</v>
      </c>
      <c r="H400">
        <v>2</v>
      </c>
      <c r="I400" s="12">
        <v>19.16</v>
      </c>
      <c r="J400" s="12">
        <v>0</v>
      </c>
      <c r="K400" s="9">
        <v>38.33</v>
      </c>
      <c r="L400" s="9">
        <v>4.87</v>
      </c>
      <c r="M400" s="9">
        <f t="shared" si="6"/>
        <v>0</v>
      </c>
    </row>
    <row r="401" spans="1:13" x14ac:dyDescent="0.3">
      <c r="A401" t="s">
        <v>650</v>
      </c>
      <c r="B401" s="1">
        <v>45777</v>
      </c>
      <c r="C401" t="s">
        <v>651</v>
      </c>
      <c r="D401" t="s">
        <v>25</v>
      </c>
      <c r="E401" t="s">
        <v>26</v>
      </c>
      <c r="F401" t="s">
        <v>27</v>
      </c>
      <c r="G401" t="s">
        <v>28</v>
      </c>
      <c r="H401">
        <v>1</v>
      </c>
      <c r="I401" s="12">
        <v>79.78</v>
      </c>
      <c r="J401" s="12">
        <v>0.05</v>
      </c>
      <c r="K401" s="9">
        <v>75.790000000000006</v>
      </c>
      <c r="L401" s="9">
        <v>10.7</v>
      </c>
      <c r="M401" s="9">
        <f t="shared" si="6"/>
        <v>3.9890000000000003</v>
      </c>
    </row>
    <row r="402" spans="1:13" x14ac:dyDescent="0.3">
      <c r="A402" t="s">
        <v>652</v>
      </c>
      <c r="B402" s="1">
        <v>45778</v>
      </c>
      <c r="C402" t="s">
        <v>172</v>
      </c>
      <c r="D402" t="s">
        <v>40</v>
      </c>
      <c r="E402" t="s">
        <v>110</v>
      </c>
      <c r="F402" t="s">
        <v>42</v>
      </c>
      <c r="G402" t="s">
        <v>22</v>
      </c>
      <c r="H402">
        <v>2</v>
      </c>
      <c r="I402" s="12">
        <v>23.34</v>
      </c>
      <c r="J402" s="12">
        <v>0.15</v>
      </c>
      <c r="K402" s="9">
        <v>39.69</v>
      </c>
      <c r="L402" s="9">
        <v>6.15</v>
      </c>
      <c r="M402" s="9">
        <f t="shared" si="6"/>
        <v>7.0019999999999998</v>
      </c>
    </row>
    <row r="403" spans="1:13" x14ac:dyDescent="0.3">
      <c r="A403" t="s">
        <v>653</v>
      </c>
      <c r="B403" s="1">
        <v>45778</v>
      </c>
      <c r="C403" t="s">
        <v>523</v>
      </c>
      <c r="D403" t="s">
        <v>14</v>
      </c>
      <c r="E403" t="s">
        <v>37</v>
      </c>
      <c r="F403" t="s">
        <v>27</v>
      </c>
      <c r="G403" t="s">
        <v>22</v>
      </c>
      <c r="H403">
        <v>2</v>
      </c>
      <c r="I403" s="12">
        <v>203.32</v>
      </c>
      <c r="J403" s="12">
        <v>0</v>
      </c>
      <c r="K403" s="9">
        <v>406.65</v>
      </c>
      <c r="L403" s="9">
        <v>47.8</v>
      </c>
      <c r="M403" s="9">
        <f t="shared" si="6"/>
        <v>0</v>
      </c>
    </row>
    <row r="404" spans="1:13" x14ac:dyDescent="0.3">
      <c r="A404" t="s">
        <v>654</v>
      </c>
      <c r="B404" s="1">
        <v>45778</v>
      </c>
      <c r="C404" t="s">
        <v>655</v>
      </c>
      <c r="D404" t="s">
        <v>40</v>
      </c>
      <c r="E404" t="s">
        <v>41</v>
      </c>
      <c r="F404" t="s">
        <v>42</v>
      </c>
      <c r="G404" t="s">
        <v>28</v>
      </c>
      <c r="H404">
        <v>2</v>
      </c>
      <c r="I404" s="12">
        <v>53.08</v>
      </c>
      <c r="J404" s="12">
        <v>0.05</v>
      </c>
      <c r="K404" s="9">
        <v>100.86</v>
      </c>
      <c r="L404" s="9">
        <v>16.45</v>
      </c>
      <c r="M404" s="9">
        <f t="shared" si="6"/>
        <v>5.3079999999999998</v>
      </c>
    </row>
    <row r="405" spans="1:13" x14ac:dyDescent="0.3">
      <c r="A405" t="s">
        <v>656</v>
      </c>
      <c r="B405" s="1">
        <v>45778</v>
      </c>
      <c r="C405" t="s">
        <v>462</v>
      </c>
      <c r="D405" t="s">
        <v>14</v>
      </c>
      <c r="E405" t="s">
        <v>65</v>
      </c>
      <c r="F405" t="s">
        <v>16</v>
      </c>
      <c r="G405" t="s">
        <v>17</v>
      </c>
      <c r="H405">
        <v>2</v>
      </c>
      <c r="I405" s="12">
        <v>19.34</v>
      </c>
      <c r="J405" s="12">
        <v>0</v>
      </c>
      <c r="K405" s="9">
        <v>38.68</v>
      </c>
      <c r="L405" s="9">
        <v>7.84</v>
      </c>
      <c r="M405" s="9">
        <f t="shared" si="6"/>
        <v>0</v>
      </c>
    </row>
    <row r="406" spans="1:13" x14ac:dyDescent="0.3">
      <c r="A406" t="s">
        <v>657</v>
      </c>
      <c r="B406" s="1">
        <v>45778</v>
      </c>
      <c r="C406" t="s">
        <v>155</v>
      </c>
      <c r="D406" t="s">
        <v>14</v>
      </c>
      <c r="E406" t="s">
        <v>65</v>
      </c>
      <c r="F406" t="s">
        <v>16</v>
      </c>
      <c r="G406" t="s">
        <v>28</v>
      </c>
      <c r="H406">
        <v>3</v>
      </c>
      <c r="I406" s="12">
        <v>19.46</v>
      </c>
      <c r="J406" s="12">
        <v>0</v>
      </c>
      <c r="K406" s="9">
        <v>58.38</v>
      </c>
      <c r="L406" s="9">
        <v>6.15</v>
      </c>
      <c r="M406" s="9">
        <f t="shared" si="6"/>
        <v>0</v>
      </c>
    </row>
    <row r="407" spans="1:13" x14ac:dyDescent="0.3">
      <c r="A407" t="s">
        <v>658</v>
      </c>
      <c r="B407" s="1">
        <v>45778</v>
      </c>
      <c r="C407" t="s">
        <v>659</v>
      </c>
      <c r="D407" t="s">
        <v>14</v>
      </c>
      <c r="E407" t="s">
        <v>37</v>
      </c>
      <c r="F407" t="s">
        <v>27</v>
      </c>
      <c r="G407" t="s">
        <v>17</v>
      </c>
      <c r="H407">
        <v>1</v>
      </c>
      <c r="I407" s="12">
        <v>209.36</v>
      </c>
      <c r="J407" s="12">
        <v>0.05</v>
      </c>
      <c r="K407" s="9">
        <v>198.89</v>
      </c>
      <c r="L407" s="9">
        <v>41.56</v>
      </c>
      <c r="M407" s="9">
        <f t="shared" si="6"/>
        <v>10.468000000000002</v>
      </c>
    </row>
    <row r="408" spans="1:13" x14ac:dyDescent="0.3">
      <c r="A408" t="s">
        <v>660</v>
      </c>
      <c r="B408" s="1">
        <v>45779</v>
      </c>
      <c r="C408" t="s">
        <v>48</v>
      </c>
      <c r="D408" t="s">
        <v>14</v>
      </c>
      <c r="E408" t="s">
        <v>56</v>
      </c>
      <c r="F408" t="s">
        <v>21</v>
      </c>
      <c r="G408" t="s">
        <v>22</v>
      </c>
      <c r="H408">
        <v>1</v>
      </c>
      <c r="I408" s="12">
        <v>313.86</v>
      </c>
      <c r="J408" s="12">
        <v>0</v>
      </c>
      <c r="K408" s="9">
        <v>313.86</v>
      </c>
      <c r="L408" s="9">
        <v>63.62</v>
      </c>
      <c r="M408" s="9">
        <f t="shared" si="6"/>
        <v>0</v>
      </c>
    </row>
    <row r="409" spans="1:13" x14ac:dyDescent="0.3">
      <c r="A409" t="s">
        <v>661</v>
      </c>
      <c r="B409" s="1">
        <v>45779</v>
      </c>
      <c r="C409" t="s">
        <v>60</v>
      </c>
      <c r="D409" t="s">
        <v>14</v>
      </c>
      <c r="E409" t="s">
        <v>26</v>
      </c>
      <c r="F409" t="s">
        <v>27</v>
      </c>
      <c r="G409" t="s">
        <v>32</v>
      </c>
      <c r="H409">
        <v>1</v>
      </c>
      <c r="I409" s="12">
        <v>68.83</v>
      </c>
      <c r="J409" s="12">
        <v>0</v>
      </c>
      <c r="K409" s="9">
        <v>68.83</v>
      </c>
      <c r="L409" s="9">
        <v>7.17</v>
      </c>
      <c r="M409" s="9">
        <f t="shared" si="6"/>
        <v>0</v>
      </c>
    </row>
    <row r="410" spans="1:13" x14ac:dyDescent="0.3">
      <c r="A410" t="s">
        <v>662</v>
      </c>
      <c r="B410" s="1">
        <v>45779</v>
      </c>
      <c r="C410" t="s">
        <v>109</v>
      </c>
      <c r="D410" t="s">
        <v>40</v>
      </c>
      <c r="E410" t="s">
        <v>51</v>
      </c>
      <c r="F410" t="s">
        <v>27</v>
      </c>
      <c r="G410" t="s">
        <v>32</v>
      </c>
      <c r="H410">
        <v>3</v>
      </c>
      <c r="I410" s="12">
        <v>871.83</v>
      </c>
      <c r="J410" s="12">
        <v>0.1</v>
      </c>
      <c r="K410" s="9">
        <v>2353.94</v>
      </c>
      <c r="L410" s="9">
        <v>469.41</v>
      </c>
      <c r="M410" s="9">
        <f t="shared" si="6"/>
        <v>261.54900000000004</v>
      </c>
    </row>
    <row r="411" spans="1:13" x14ac:dyDescent="0.3">
      <c r="A411" t="s">
        <v>663</v>
      </c>
      <c r="B411" s="1">
        <v>45779</v>
      </c>
      <c r="C411" t="s">
        <v>299</v>
      </c>
      <c r="D411" t="s">
        <v>14</v>
      </c>
      <c r="E411" t="s">
        <v>54</v>
      </c>
      <c r="F411" t="s">
        <v>27</v>
      </c>
      <c r="G411" t="s">
        <v>32</v>
      </c>
      <c r="H411">
        <v>5</v>
      </c>
      <c r="I411" s="12">
        <v>27.28</v>
      </c>
      <c r="J411" s="12">
        <v>0.05</v>
      </c>
      <c r="K411" s="9">
        <v>129.56</v>
      </c>
      <c r="L411" s="9">
        <v>29.53</v>
      </c>
      <c r="M411" s="9">
        <f t="shared" si="6"/>
        <v>6.82</v>
      </c>
    </row>
    <row r="412" spans="1:13" x14ac:dyDescent="0.3">
      <c r="A412" t="s">
        <v>664</v>
      </c>
      <c r="B412" s="1">
        <v>45779</v>
      </c>
      <c r="C412" t="s">
        <v>665</v>
      </c>
      <c r="D412" t="s">
        <v>14</v>
      </c>
      <c r="E412" t="s">
        <v>51</v>
      </c>
      <c r="F412" t="s">
        <v>27</v>
      </c>
      <c r="G412" t="s">
        <v>17</v>
      </c>
      <c r="H412">
        <v>1</v>
      </c>
      <c r="I412" s="12">
        <v>1032.58</v>
      </c>
      <c r="J412" s="12">
        <v>0</v>
      </c>
      <c r="K412" s="9">
        <v>1032.58</v>
      </c>
      <c r="L412" s="9">
        <v>214.42</v>
      </c>
      <c r="M412" s="9">
        <f t="shared" si="6"/>
        <v>0</v>
      </c>
    </row>
    <row r="413" spans="1:13" x14ac:dyDescent="0.3">
      <c r="A413" t="s">
        <v>666</v>
      </c>
      <c r="B413" s="1">
        <v>45779</v>
      </c>
      <c r="C413" t="s">
        <v>457</v>
      </c>
      <c r="D413" t="s">
        <v>25</v>
      </c>
      <c r="E413" t="s">
        <v>26</v>
      </c>
      <c r="F413" t="s">
        <v>27</v>
      </c>
      <c r="G413" t="s">
        <v>32</v>
      </c>
      <c r="H413">
        <v>2</v>
      </c>
      <c r="I413" s="12">
        <v>73.47</v>
      </c>
      <c r="J413" s="12">
        <v>0.05</v>
      </c>
      <c r="K413" s="9">
        <v>139.59</v>
      </c>
      <c r="L413" s="9">
        <v>18.16</v>
      </c>
      <c r="M413" s="9">
        <f t="shared" si="6"/>
        <v>7.3470000000000004</v>
      </c>
    </row>
    <row r="414" spans="1:13" x14ac:dyDescent="0.3">
      <c r="A414" t="s">
        <v>667</v>
      </c>
      <c r="B414" s="1">
        <v>45779</v>
      </c>
      <c r="C414" t="s">
        <v>565</v>
      </c>
      <c r="D414" t="s">
        <v>40</v>
      </c>
      <c r="E414" t="s">
        <v>54</v>
      </c>
      <c r="F414" t="s">
        <v>27</v>
      </c>
      <c r="G414" t="s">
        <v>32</v>
      </c>
      <c r="H414">
        <v>1</v>
      </c>
      <c r="I414" s="12">
        <v>26.57</v>
      </c>
      <c r="J414" s="12">
        <v>0.1</v>
      </c>
      <c r="K414" s="9">
        <v>23.92</v>
      </c>
      <c r="L414" s="9">
        <v>3.31</v>
      </c>
      <c r="M414" s="9">
        <f t="shared" si="6"/>
        <v>2.657</v>
      </c>
    </row>
    <row r="415" spans="1:13" x14ac:dyDescent="0.3">
      <c r="A415" t="s">
        <v>668</v>
      </c>
      <c r="B415" s="1">
        <v>45780</v>
      </c>
      <c r="C415" t="s">
        <v>404</v>
      </c>
      <c r="D415" t="s">
        <v>25</v>
      </c>
      <c r="E415" t="s">
        <v>37</v>
      </c>
      <c r="F415" t="s">
        <v>27</v>
      </c>
      <c r="G415" t="s">
        <v>32</v>
      </c>
      <c r="H415">
        <v>2</v>
      </c>
      <c r="I415" s="12">
        <v>210.08</v>
      </c>
      <c r="J415" s="12">
        <v>0.05</v>
      </c>
      <c r="K415" s="9">
        <v>399.15</v>
      </c>
      <c r="L415" s="9">
        <v>75.569999999999993</v>
      </c>
      <c r="M415" s="9">
        <f t="shared" si="6"/>
        <v>21.008000000000003</v>
      </c>
    </row>
    <row r="416" spans="1:13" x14ac:dyDescent="0.3">
      <c r="A416" t="s">
        <v>669</v>
      </c>
      <c r="B416" s="1">
        <v>45780</v>
      </c>
      <c r="C416" t="s">
        <v>571</v>
      </c>
      <c r="D416" t="s">
        <v>25</v>
      </c>
      <c r="E416" t="s">
        <v>37</v>
      </c>
      <c r="F416" t="s">
        <v>27</v>
      </c>
      <c r="G416" t="s">
        <v>28</v>
      </c>
      <c r="H416">
        <v>1</v>
      </c>
      <c r="I416" s="12">
        <v>205.05</v>
      </c>
      <c r="J416" s="12">
        <v>0</v>
      </c>
      <c r="K416" s="9">
        <v>205.05</v>
      </c>
      <c r="L416" s="9">
        <v>28.78</v>
      </c>
      <c r="M416" s="9">
        <f t="shared" si="6"/>
        <v>0</v>
      </c>
    </row>
    <row r="417" spans="1:13" x14ac:dyDescent="0.3">
      <c r="A417" t="s">
        <v>670</v>
      </c>
      <c r="B417" s="1">
        <v>45780</v>
      </c>
      <c r="C417" t="s">
        <v>671</v>
      </c>
      <c r="D417" t="s">
        <v>14</v>
      </c>
      <c r="E417" t="s">
        <v>20</v>
      </c>
      <c r="F417" t="s">
        <v>21</v>
      </c>
      <c r="G417" t="s">
        <v>28</v>
      </c>
      <c r="H417">
        <v>1</v>
      </c>
      <c r="I417" s="12">
        <v>179.39</v>
      </c>
      <c r="J417" s="12">
        <v>0</v>
      </c>
      <c r="K417" s="9">
        <v>179.39</v>
      </c>
      <c r="L417" s="9">
        <v>46.17</v>
      </c>
      <c r="M417" s="9">
        <f t="shared" si="6"/>
        <v>0</v>
      </c>
    </row>
    <row r="418" spans="1:13" x14ac:dyDescent="0.3">
      <c r="A418" t="s">
        <v>672</v>
      </c>
      <c r="B418" s="1">
        <v>45780</v>
      </c>
      <c r="C418" t="s">
        <v>334</v>
      </c>
      <c r="D418" t="s">
        <v>25</v>
      </c>
      <c r="E418" t="s">
        <v>15</v>
      </c>
      <c r="F418" t="s">
        <v>16</v>
      </c>
      <c r="G418" t="s">
        <v>28</v>
      </c>
      <c r="H418">
        <v>1</v>
      </c>
      <c r="I418" s="12">
        <v>13.96</v>
      </c>
      <c r="J418" s="12">
        <v>0.05</v>
      </c>
      <c r="K418" s="9">
        <v>13.27</v>
      </c>
      <c r="L418" s="9">
        <v>2.5299999999999998</v>
      </c>
      <c r="M418" s="9">
        <f t="shared" si="6"/>
        <v>0.69800000000000006</v>
      </c>
    </row>
    <row r="419" spans="1:13" x14ac:dyDescent="0.3">
      <c r="A419" t="s">
        <v>673</v>
      </c>
      <c r="B419" s="1">
        <v>45782</v>
      </c>
      <c r="C419" t="s">
        <v>259</v>
      </c>
      <c r="D419" t="s">
        <v>14</v>
      </c>
      <c r="E419" t="s">
        <v>15</v>
      </c>
      <c r="F419" t="s">
        <v>16</v>
      </c>
      <c r="G419" t="s">
        <v>28</v>
      </c>
      <c r="H419">
        <v>2</v>
      </c>
      <c r="I419" s="12">
        <v>14.82</v>
      </c>
      <c r="J419" s="12">
        <v>0.05</v>
      </c>
      <c r="K419" s="9">
        <v>28.16</v>
      </c>
      <c r="L419" s="9">
        <v>6.79</v>
      </c>
      <c r="M419" s="9">
        <f t="shared" si="6"/>
        <v>1.4820000000000002</v>
      </c>
    </row>
    <row r="420" spans="1:13" x14ac:dyDescent="0.3">
      <c r="A420" t="s">
        <v>674</v>
      </c>
      <c r="B420" s="1">
        <v>45782</v>
      </c>
      <c r="C420" t="s">
        <v>120</v>
      </c>
      <c r="D420" t="s">
        <v>14</v>
      </c>
      <c r="E420" t="s">
        <v>31</v>
      </c>
      <c r="F420" t="s">
        <v>21</v>
      </c>
      <c r="G420" t="s">
        <v>22</v>
      </c>
      <c r="H420">
        <v>1</v>
      </c>
      <c r="I420" s="12">
        <v>42.87</v>
      </c>
      <c r="J420" s="12">
        <v>0.1</v>
      </c>
      <c r="K420" s="9">
        <v>38.58</v>
      </c>
      <c r="L420" s="9">
        <v>4.59</v>
      </c>
      <c r="M420" s="9">
        <f t="shared" si="6"/>
        <v>4.2869999999999999</v>
      </c>
    </row>
    <row r="421" spans="1:13" x14ac:dyDescent="0.3">
      <c r="A421" t="s">
        <v>675</v>
      </c>
      <c r="B421" s="1">
        <v>45782</v>
      </c>
      <c r="C421" t="s">
        <v>62</v>
      </c>
      <c r="D421" t="s">
        <v>40</v>
      </c>
      <c r="E421" t="s">
        <v>41</v>
      </c>
      <c r="F421" t="s">
        <v>42</v>
      </c>
      <c r="G421" t="s">
        <v>28</v>
      </c>
      <c r="H421">
        <v>4</v>
      </c>
      <c r="I421" s="12">
        <v>54.31</v>
      </c>
      <c r="J421" s="12">
        <v>0.05</v>
      </c>
      <c r="K421" s="9">
        <v>206.36</v>
      </c>
      <c r="L421" s="9">
        <v>47.2</v>
      </c>
      <c r="M421" s="9">
        <f t="shared" si="6"/>
        <v>10.862000000000002</v>
      </c>
    </row>
    <row r="422" spans="1:13" x14ac:dyDescent="0.3">
      <c r="A422" t="s">
        <v>676</v>
      </c>
      <c r="B422" s="1">
        <v>45783</v>
      </c>
      <c r="C422" t="s">
        <v>164</v>
      </c>
      <c r="D422" t="s">
        <v>14</v>
      </c>
      <c r="E422" t="s">
        <v>26</v>
      </c>
      <c r="F422" t="s">
        <v>27</v>
      </c>
      <c r="G422" t="s">
        <v>32</v>
      </c>
      <c r="H422">
        <v>3</v>
      </c>
      <c r="I422" s="12">
        <v>68.83</v>
      </c>
      <c r="J422" s="12">
        <v>0.05</v>
      </c>
      <c r="K422" s="9">
        <v>196.15</v>
      </c>
      <c r="L422" s="9">
        <v>26.2</v>
      </c>
      <c r="M422" s="9">
        <f t="shared" si="6"/>
        <v>10.3245</v>
      </c>
    </row>
    <row r="423" spans="1:13" x14ac:dyDescent="0.3">
      <c r="A423" t="s">
        <v>677</v>
      </c>
      <c r="B423" s="1">
        <v>45783</v>
      </c>
      <c r="C423" t="s">
        <v>128</v>
      </c>
      <c r="D423" t="s">
        <v>14</v>
      </c>
      <c r="E423" t="s">
        <v>110</v>
      </c>
      <c r="F423" t="s">
        <v>42</v>
      </c>
      <c r="G423" t="s">
        <v>17</v>
      </c>
      <c r="H423">
        <v>2</v>
      </c>
      <c r="I423" s="12">
        <v>20.59</v>
      </c>
      <c r="J423" s="12">
        <v>0.05</v>
      </c>
      <c r="K423" s="9">
        <v>39.130000000000003</v>
      </c>
      <c r="L423" s="9">
        <v>9.42</v>
      </c>
      <c r="M423" s="9">
        <f t="shared" si="6"/>
        <v>2.0590000000000002</v>
      </c>
    </row>
    <row r="424" spans="1:13" x14ac:dyDescent="0.3">
      <c r="A424" t="s">
        <v>678</v>
      </c>
      <c r="B424" s="1">
        <v>45784</v>
      </c>
      <c r="C424" t="s">
        <v>679</v>
      </c>
      <c r="D424" t="s">
        <v>14</v>
      </c>
      <c r="E424" t="s">
        <v>65</v>
      </c>
      <c r="F424" t="s">
        <v>16</v>
      </c>
      <c r="G424" t="s">
        <v>28</v>
      </c>
      <c r="H424">
        <v>1</v>
      </c>
      <c r="I424" s="12">
        <v>16.239999999999998</v>
      </c>
      <c r="J424" s="12">
        <v>0.05</v>
      </c>
      <c r="K424" s="9">
        <v>15.42</v>
      </c>
      <c r="L424" s="9">
        <v>1.29</v>
      </c>
      <c r="M424" s="9">
        <f t="shared" si="6"/>
        <v>0.81199999999999994</v>
      </c>
    </row>
    <row r="425" spans="1:13" x14ac:dyDescent="0.3">
      <c r="A425" t="s">
        <v>680</v>
      </c>
      <c r="B425" s="1">
        <v>45784</v>
      </c>
      <c r="C425" t="s">
        <v>630</v>
      </c>
      <c r="D425" t="s">
        <v>14</v>
      </c>
      <c r="E425" t="s">
        <v>37</v>
      </c>
      <c r="F425" t="s">
        <v>27</v>
      </c>
      <c r="G425" t="s">
        <v>22</v>
      </c>
      <c r="H425">
        <v>3</v>
      </c>
      <c r="I425" s="12">
        <v>213.41</v>
      </c>
      <c r="J425" s="12">
        <v>0.1</v>
      </c>
      <c r="K425" s="9">
        <v>576.21</v>
      </c>
      <c r="L425" s="9">
        <v>60.15</v>
      </c>
      <c r="M425" s="9">
        <f t="shared" si="6"/>
        <v>64.02300000000001</v>
      </c>
    </row>
    <row r="426" spans="1:13" x14ac:dyDescent="0.3">
      <c r="A426" t="s">
        <v>681</v>
      </c>
      <c r="B426" s="1">
        <v>45784</v>
      </c>
      <c r="C426" t="s">
        <v>682</v>
      </c>
      <c r="D426" t="s">
        <v>14</v>
      </c>
      <c r="E426" t="s">
        <v>26</v>
      </c>
      <c r="F426" t="s">
        <v>27</v>
      </c>
      <c r="G426" t="s">
        <v>17</v>
      </c>
      <c r="H426">
        <v>3</v>
      </c>
      <c r="I426" s="12">
        <v>75.2</v>
      </c>
      <c r="J426" s="12">
        <v>0.05</v>
      </c>
      <c r="K426" s="9">
        <v>214.33</v>
      </c>
      <c r="L426" s="9">
        <v>24.81</v>
      </c>
      <c r="M426" s="9">
        <f t="shared" si="6"/>
        <v>11.280000000000001</v>
      </c>
    </row>
    <row r="427" spans="1:13" x14ac:dyDescent="0.3">
      <c r="A427" t="s">
        <v>683</v>
      </c>
      <c r="B427" s="1">
        <v>45785</v>
      </c>
      <c r="C427" t="s">
        <v>684</v>
      </c>
      <c r="D427" t="s">
        <v>40</v>
      </c>
      <c r="E427" t="s">
        <v>20</v>
      </c>
      <c r="F427" t="s">
        <v>21</v>
      </c>
      <c r="G427" t="s">
        <v>28</v>
      </c>
      <c r="H427">
        <v>1</v>
      </c>
      <c r="I427" s="12">
        <v>179.91</v>
      </c>
      <c r="J427" s="12">
        <v>0.05</v>
      </c>
      <c r="K427" s="9">
        <v>170.91</v>
      </c>
      <c r="L427" s="9">
        <v>36.869999999999997</v>
      </c>
      <c r="M427" s="9">
        <f t="shared" si="6"/>
        <v>8.9954999999999998</v>
      </c>
    </row>
    <row r="428" spans="1:13" x14ac:dyDescent="0.3">
      <c r="A428" t="s">
        <v>685</v>
      </c>
      <c r="B428" s="1">
        <v>45785</v>
      </c>
      <c r="C428" t="s">
        <v>686</v>
      </c>
      <c r="D428" t="s">
        <v>14</v>
      </c>
      <c r="E428" t="s">
        <v>26</v>
      </c>
      <c r="F428" t="s">
        <v>27</v>
      </c>
      <c r="G428" t="s">
        <v>17</v>
      </c>
      <c r="H428">
        <v>1</v>
      </c>
      <c r="I428" s="12">
        <v>72.150000000000006</v>
      </c>
      <c r="J428" s="12">
        <v>0</v>
      </c>
      <c r="K428" s="9">
        <v>72.150000000000006</v>
      </c>
      <c r="L428" s="9">
        <v>13.3</v>
      </c>
      <c r="M428" s="9">
        <f t="shared" si="6"/>
        <v>0</v>
      </c>
    </row>
    <row r="429" spans="1:13" x14ac:dyDescent="0.3">
      <c r="A429" t="s">
        <v>687</v>
      </c>
      <c r="B429" s="1">
        <v>45785</v>
      </c>
      <c r="C429" t="s">
        <v>197</v>
      </c>
      <c r="D429" t="s">
        <v>14</v>
      </c>
      <c r="E429" t="s">
        <v>110</v>
      </c>
      <c r="F429" t="s">
        <v>42</v>
      </c>
      <c r="G429" t="s">
        <v>22</v>
      </c>
      <c r="H429">
        <v>3</v>
      </c>
      <c r="I429" s="12">
        <v>22.19</v>
      </c>
      <c r="J429" s="12">
        <v>0</v>
      </c>
      <c r="K429" s="9">
        <v>66.569999999999993</v>
      </c>
      <c r="L429" s="9">
        <v>8.7899999999999991</v>
      </c>
      <c r="M429" s="9">
        <f t="shared" si="6"/>
        <v>0</v>
      </c>
    </row>
    <row r="430" spans="1:13" x14ac:dyDescent="0.3">
      <c r="A430" t="s">
        <v>688</v>
      </c>
      <c r="B430" s="1">
        <v>45785</v>
      </c>
      <c r="C430" t="s">
        <v>168</v>
      </c>
      <c r="D430" t="s">
        <v>25</v>
      </c>
      <c r="E430" t="s">
        <v>37</v>
      </c>
      <c r="F430" t="s">
        <v>27</v>
      </c>
      <c r="G430" t="s">
        <v>28</v>
      </c>
      <c r="H430">
        <v>2</v>
      </c>
      <c r="I430" s="12">
        <v>225.25</v>
      </c>
      <c r="J430" s="12">
        <v>0</v>
      </c>
      <c r="K430" s="9">
        <v>450.49</v>
      </c>
      <c r="L430" s="9">
        <v>115.87</v>
      </c>
      <c r="M430" s="9">
        <f t="shared" si="6"/>
        <v>0</v>
      </c>
    </row>
    <row r="431" spans="1:13" x14ac:dyDescent="0.3">
      <c r="A431" t="s">
        <v>689</v>
      </c>
      <c r="B431" s="1">
        <v>45786</v>
      </c>
      <c r="C431" t="s">
        <v>690</v>
      </c>
      <c r="D431" t="s">
        <v>14</v>
      </c>
      <c r="E431" t="s">
        <v>41</v>
      </c>
      <c r="F431" t="s">
        <v>42</v>
      </c>
      <c r="G431" t="s">
        <v>32</v>
      </c>
      <c r="H431">
        <v>1</v>
      </c>
      <c r="I431" s="12">
        <v>58.26</v>
      </c>
      <c r="J431" s="12">
        <v>0.05</v>
      </c>
      <c r="K431" s="9">
        <v>55.35</v>
      </c>
      <c r="L431" s="9">
        <v>7.46</v>
      </c>
      <c r="M431" s="9">
        <f t="shared" si="6"/>
        <v>2.9130000000000003</v>
      </c>
    </row>
    <row r="432" spans="1:13" x14ac:dyDescent="0.3">
      <c r="A432" t="s">
        <v>691</v>
      </c>
      <c r="B432" s="1">
        <v>45786</v>
      </c>
      <c r="C432" t="s">
        <v>105</v>
      </c>
      <c r="D432" t="s">
        <v>14</v>
      </c>
      <c r="E432" t="s">
        <v>15</v>
      </c>
      <c r="F432" t="s">
        <v>16</v>
      </c>
      <c r="G432" t="s">
        <v>32</v>
      </c>
      <c r="H432">
        <v>1</v>
      </c>
      <c r="I432" s="12">
        <v>13.43</v>
      </c>
      <c r="J432" s="12">
        <v>0.15</v>
      </c>
      <c r="K432" s="9">
        <v>11.41</v>
      </c>
      <c r="L432" s="9">
        <v>0.6</v>
      </c>
      <c r="M432" s="9">
        <f t="shared" si="6"/>
        <v>2.0145</v>
      </c>
    </row>
    <row r="433" spans="1:13" x14ac:dyDescent="0.3">
      <c r="A433" t="s">
        <v>692</v>
      </c>
      <c r="B433" s="1">
        <v>45787</v>
      </c>
      <c r="C433" t="s">
        <v>74</v>
      </c>
      <c r="D433" t="s">
        <v>14</v>
      </c>
      <c r="E433" t="s">
        <v>37</v>
      </c>
      <c r="F433" t="s">
        <v>27</v>
      </c>
      <c r="G433" t="s">
        <v>22</v>
      </c>
      <c r="H433">
        <v>5</v>
      </c>
      <c r="I433" s="12">
        <v>207.16</v>
      </c>
      <c r="J433" s="12">
        <v>0</v>
      </c>
      <c r="K433" s="9">
        <v>1035.79</v>
      </c>
      <c r="L433" s="9">
        <v>278.33999999999997</v>
      </c>
      <c r="M433" s="9">
        <f t="shared" si="6"/>
        <v>0</v>
      </c>
    </row>
    <row r="434" spans="1:13" x14ac:dyDescent="0.3">
      <c r="A434" t="s">
        <v>693</v>
      </c>
      <c r="B434" s="1">
        <v>45787</v>
      </c>
      <c r="C434" t="s">
        <v>547</v>
      </c>
      <c r="D434" t="s">
        <v>14</v>
      </c>
      <c r="E434" t="s">
        <v>56</v>
      </c>
      <c r="F434" t="s">
        <v>21</v>
      </c>
      <c r="G434" t="s">
        <v>22</v>
      </c>
      <c r="H434">
        <v>1</v>
      </c>
      <c r="I434" s="12">
        <v>347.48</v>
      </c>
      <c r="J434" s="12">
        <v>0.05</v>
      </c>
      <c r="K434" s="9">
        <v>330.1</v>
      </c>
      <c r="L434" s="9">
        <v>39.47</v>
      </c>
      <c r="M434" s="9">
        <f t="shared" si="6"/>
        <v>17.374000000000002</v>
      </c>
    </row>
    <row r="435" spans="1:13" x14ac:dyDescent="0.3">
      <c r="A435" t="s">
        <v>694</v>
      </c>
      <c r="B435" s="1">
        <v>45787</v>
      </c>
      <c r="C435" t="s">
        <v>682</v>
      </c>
      <c r="D435" t="s">
        <v>14</v>
      </c>
      <c r="E435" t="s">
        <v>41</v>
      </c>
      <c r="F435" t="s">
        <v>42</v>
      </c>
      <c r="G435" t="s">
        <v>32</v>
      </c>
      <c r="H435">
        <v>4</v>
      </c>
      <c r="I435" s="12">
        <v>58.09</v>
      </c>
      <c r="J435" s="12">
        <v>0</v>
      </c>
      <c r="K435" s="9">
        <v>232.37</v>
      </c>
      <c r="L435" s="9">
        <v>56.94</v>
      </c>
      <c r="M435" s="9">
        <f t="shared" si="6"/>
        <v>0</v>
      </c>
    </row>
    <row r="436" spans="1:13" x14ac:dyDescent="0.3">
      <c r="A436" t="s">
        <v>695</v>
      </c>
      <c r="B436" s="1">
        <v>45787</v>
      </c>
      <c r="C436" t="s">
        <v>328</v>
      </c>
      <c r="D436" t="s">
        <v>40</v>
      </c>
      <c r="E436" t="s">
        <v>54</v>
      </c>
      <c r="F436" t="s">
        <v>27</v>
      </c>
      <c r="G436" t="s">
        <v>17</v>
      </c>
      <c r="H436">
        <v>1</v>
      </c>
      <c r="I436" s="12">
        <v>30.71</v>
      </c>
      <c r="J436" s="12">
        <v>0.1</v>
      </c>
      <c r="K436" s="9">
        <v>27.64</v>
      </c>
      <c r="L436" s="9">
        <v>3.48</v>
      </c>
      <c r="M436" s="9">
        <f t="shared" si="6"/>
        <v>3.0710000000000002</v>
      </c>
    </row>
    <row r="437" spans="1:13" x14ac:dyDescent="0.3">
      <c r="A437" t="s">
        <v>696</v>
      </c>
      <c r="B437" s="1">
        <v>45787</v>
      </c>
      <c r="C437" t="s">
        <v>646</v>
      </c>
      <c r="D437" t="s">
        <v>40</v>
      </c>
      <c r="E437" t="s">
        <v>37</v>
      </c>
      <c r="F437" t="s">
        <v>27</v>
      </c>
      <c r="G437" t="s">
        <v>17</v>
      </c>
      <c r="H437">
        <v>3</v>
      </c>
      <c r="I437" s="12">
        <v>208.81</v>
      </c>
      <c r="J437" s="12">
        <v>0.05</v>
      </c>
      <c r="K437" s="9">
        <v>595.1</v>
      </c>
      <c r="L437" s="9">
        <v>90.6</v>
      </c>
      <c r="M437" s="9">
        <f t="shared" si="6"/>
        <v>31.321500000000004</v>
      </c>
    </row>
    <row r="438" spans="1:13" x14ac:dyDescent="0.3">
      <c r="A438" t="s">
        <v>697</v>
      </c>
      <c r="B438" s="1">
        <v>45787</v>
      </c>
      <c r="C438" t="s">
        <v>179</v>
      </c>
      <c r="D438" t="s">
        <v>25</v>
      </c>
      <c r="E438" t="s">
        <v>20</v>
      </c>
      <c r="F438" t="s">
        <v>21</v>
      </c>
      <c r="G438" t="s">
        <v>17</v>
      </c>
      <c r="H438">
        <v>1</v>
      </c>
      <c r="I438" s="12">
        <v>189.42</v>
      </c>
      <c r="J438" s="12">
        <v>0.1</v>
      </c>
      <c r="K438" s="9">
        <v>170.48</v>
      </c>
      <c r="L438" s="9">
        <v>17.32</v>
      </c>
      <c r="M438" s="9">
        <f t="shared" si="6"/>
        <v>18.942</v>
      </c>
    </row>
    <row r="439" spans="1:13" x14ac:dyDescent="0.3">
      <c r="A439" t="s">
        <v>698</v>
      </c>
      <c r="B439" s="1">
        <v>45787</v>
      </c>
      <c r="C439" t="s">
        <v>699</v>
      </c>
      <c r="D439" t="s">
        <v>14</v>
      </c>
      <c r="E439" t="s">
        <v>56</v>
      </c>
      <c r="F439" t="s">
        <v>21</v>
      </c>
      <c r="G439" t="s">
        <v>17</v>
      </c>
      <c r="H439">
        <v>5</v>
      </c>
      <c r="I439" s="12">
        <v>358.68</v>
      </c>
      <c r="J439" s="12">
        <v>0.1</v>
      </c>
      <c r="K439" s="9">
        <v>1614.06</v>
      </c>
      <c r="L439" s="9">
        <v>183.92</v>
      </c>
      <c r="M439" s="9">
        <f t="shared" si="6"/>
        <v>179.34000000000003</v>
      </c>
    </row>
    <row r="440" spans="1:13" x14ac:dyDescent="0.3">
      <c r="A440" t="s">
        <v>700</v>
      </c>
      <c r="B440" s="1">
        <v>45787</v>
      </c>
      <c r="C440" t="s">
        <v>48</v>
      </c>
      <c r="D440" t="s">
        <v>14</v>
      </c>
      <c r="E440" t="s">
        <v>37</v>
      </c>
      <c r="F440" t="s">
        <v>27</v>
      </c>
      <c r="G440" t="s">
        <v>17</v>
      </c>
      <c r="H440">
        <v>1</v>
      </c>
      <c r="I440" s="12">
        <v>192.04</v>
      </c>
      <c r="J440" s="12">
        <v>0.05</v>
      </c>
      <c r="K440" s="9">
        <v>182.43</v>
      </c>
      <c r="L440" s="9">
        <v>33.07</v>
      </c>
      <c r="M440" s="9">
        <f t="shared" si="6"/>
        <v>9.6020000000000003</v>
      </c>
    </row>
    <row r="441" spans="1:13" x14ac:dyDescent="0.3">
      <c r="A441" t="s">
        <v>701</v>
      </c>
      <c r="B441" s="1">
        <v>45788</v>
      </c>
      <c r="C441" t="s">
        <v>359</v>
      </c>
      <c r="D441" t="s">
        <v>40</v>
      </c>
      <c r="E441" t="s">
        <v>41</v>
      </c>
      <c r="F441" t="s">
        <v>42</v>
      </c>
      <c r="G441" t="s">
        <v>32</v>
      </c>
      <c r="H441">
        <v>3</v>
      </c>
      <c r="I441" s="12">
        <v>57.79</v>
      </c>
      <c r="J441" s="12">
        <v>0.1</v>
      </c>
      <c r="K441" s="9">
        <v>156.03</v>
      </c>
      <c r="L441" s="9">
        <v>36.21</v>
      </c>
      <c r="M441" s="9">
        <f t="shared" si="6"/>
        <v>17.337</v>
      </c>
    </row>
    <row r="442" spans="1:13" x14ac:dyDescent="0.3">
      <c r="A442" t="s">
        <v>702</v>
      </c>
      <c r="B442" s="1">
        <v>45788</v>
      </c>
      <c r="C442" t="s">
        <v>547</v>
      </c>
      <c r="D442" t="s">
        <v>40</v>
      </c>
      <c r="E442" t="s">
        <v>65</v>
      </c>
      <c r="F442" t="s">
        <v>16</v>
      </c>
      <c r="G442" t="s">
        <v>28</v>
      </c>
      <c r="H442">
        <v>1</v>
      </c>
      <c r="I442" s="12">
        <v>16.59</v>
      </c>
      <c r="J442" s="12">
        <v>0.05</v>
      </c>
      <c r="K442" s="9">
        <v>15.76</v>
      </c>
      <c r="L442" s="9">
        <v>4.17</v>
      </c>
      <c r="M442" s="9">
        <f t="shared" si="6"/>
        <v>0.82950000000000002</v>
      </c>
    </row>
    <row r="443" spans="1:13" x14ac:dyDescent="0.3">
      <c r="A443" t="s">
        <v>703</v>
      </c>
      <c r="B443" s="1">
        <v>45789</v>
      </c>
      <c r="C443" t="s">
        <v>704</v>
      </c>
      <c r="D443" t="s">
        <v>14</v>
      </c>
      <c r="E443" t="s">
        <v>110</v>
      </c>
      <c r="F443" t="s">
        <v>42</v>
      </c>
      <c r="G443" t="s">
        <v>22</v>
      </c>
      <c r="H443">
        <v>2</v>
      </c>
      <c r="I443" s="12">
        <v>22.61</v>
      </c>
      <c r="J443" s="12">
        <v>0.1</v>
      </c>
      <c r="K443" s="9">
        <v>40.69</v>
      </c>
      <c r="L443" s="9">
        <v>4.18</v>
      </c>
      <c r="M443" s="9">
        <f t="shared" si="6"/>
        <v>4.5220000000000002</v>
      </c>
    </row>
    <row r="444" spans="1:13" x14ac:dyDescent="0.3">
      <c r="A444" t="s">
        <v>705</v>
      </c>
      <c r="B444" s="1">
        <v>45789</v>
      </c>
      <c r="C444" t="s">
        <v>197</v>
      </c>
      <c r="D444" t="s">
        <v>40</v>
      </c>
      <c r="E444" t="s">
        <v>26</v>
      </c>
      <c r="F444" t="s">
        <v>27</v>
      </c>
      <c r="G444" t="s">
        <v>17</v>
      </c>
      <c r="H444">
        <v>2</v>
      </c>
      <c r="I444" s="12">
        <v>76.39</v>
      </c>
      <c r="J444" s="12">
        <v>0</v>
      </c>
      <c r="K444" s="9">
        <v>152.79</v>
      </c>
      <c r="L444" s="9">
        <v>35.32</v>
      </c>
      <c r="M444" s="9">
        <f t="shared" si="6"/>
        <v>0</v>
      </c>
    </row>
    <row r="445" spans="1:13" x14ac:dyDescent="0.3">
      <c r="A445" t="s">
        <v>706</v>
      </c>
      <c r="B445" s="1">
        <v>45789</v>
      </c>
      <c r="C445" t="s">
        <v>168</v>
      </c>
      <c r="D445" t="s">
        <v>25</v>
      </c>
      <c r="E445" t="s">
        <v>15</v>
      </c>
      <c r="F445" t="s">
        <v>16</v>
      </c>
      <c r="G445" t="s">
        <v>17</v>
      </c>
      <c r="H445">
        <v>3</v>
      </c>
      <c r="I445" s="12">
        <v>15.4</v>
      </c>
      <c r="J445" s="12">
        <v>0</v>
      </c>
      <c r="K445" s="9">
        <v>46.19</v>
      </c>
      <c r="L445" s="9">
        <v>10.65</v>
      </c>
      <c r="M445" s="9">
        <f t="shared" si="6"/>
        <v>0</v>
      </c>
    </row>
    <row r="446" spans="1:13" x14ac:dyDescent="0.3">
      <c r="A446" t="s">
        <v>707</v>
      </c>
      <c r="B446" s="1">
        <v>45789</v>
      </c>
      <c r="C446" t="s">
        <v>313</v>
      </c>
      <c r="D446" t="s">
        <v>14</v>
      </c>
      <c r="E446" t="s">
        <v>92</v>
      </c>
      <c r="F446" t="s">
        <v>16</v>
      </c>
      <c r="G446" t="s">
        <v>28</v>
      </c>
      <c r="H446">
        <v>3</v>
      </c>
      <c r="I446" s="12">
        <v>8.7799999999999994</v>
      </c>
      <c r="J446" s="12">
        <v>0.05</v>
      </c>
      <c r="K446" s="9">
        <v>25.02</v>
      </c>
      <c r="L446" s="9">
        <v>4.07</v>
      </c>
      <c r="M446" s="9">
        <f t="shared" si="6"/>
        <v>1.3169999999999999</v>
      </c>
    </row>
    <row r="447" spans="1:13" x14ac:dyDescent="0.3">
      <c r="A447" t="s">
        <v>708</v>
      </c>
      <c r="B447" s="1">
        <v>45789</v>
      </c>
      <c r="C447" t="s">
        <v>299</v>
      </c>
      <c r="D447" t="s">
        <v>25</v>
      </c>
      <c r="E447" t="s">
        <v>37</v>
      </c>
      <c r="F447" t="s">
        <v>27</v>
      </c>
      <c r="G447" t="s">
        <v>17</v>
      </c>
      <c r="H447">
        <v>3</v>
      </c>
      <c r="I447" s="12">
        <v>196.91</v>
      </c>
      <c r="J447" s="12">
        <v>0</v>
      </c>
      <c r="K447" s="9">
        <v>590.73</v>
      </c>
      <c r="L447" s="9">
        <v>83.14</v>
      </c>
      <c r="M447" s="9">
        <f t="shared" si="6"/>
        <v>0</v>
      </c>
    </row>
    <row r="448" spans="1:13" x14ac:dyDescent="0.3">
      <c r="A448" t="s">
        <v>709</v>
      </c>
      <c r="B448" s="1">
        <v>45791</v>
      </c>
      <c r="C448" t="s">
        <v>606</v>
      </c>
      <c r="D448" t="s">
        <v>14</v>
      </c>
      <c r="E448" t="s">
        <v>110</v>
      </c>
      <c r="F448" t="s">
        <v>42</v>
      </c>
      <c r="G448" t="s">
        <v>17</v>
      </c>
      <c r="H448">
        <v>2</v>
      </c>
      <c r="I448" s="12">
        <v>20.03</v>
      </c>
      <c r="J448" s="12">
        <v>0</v>
      </c>
      <c r="K448" s="9">
        <v>40.06</v>
      </c>
      <c r="L448" s="9">
        <v>10.81</v>
      </c>
      <c r="M448" s="9">
        <f t="shared" si="6"/>
        <v>0</v>
      </c>
    </row>
    <row r="449" spans="1:13" x14ac:dyDescent="0.3">
      <c r="A449" t="s">
        <v>710</v>
      </c>
      <c r="B449" s="1">
        <v>45791</v>
      </c>
      <c r="C449" t="s">
        <v>711</v>
      </c>
      <c r="D449" t="s">
        <v>40</v>
      </c>
      <c r="E449" t="s">
        <v>31</v>
      </c>
      <c r="F449" t="s">
        <v>21</v>
      </c>
      <c r="G449" t="s">
        <v>17</v>
      </c>
      <c r="H449">
        <v>3</v>
      </c>
      <c r="I449" s="12">
        <v>45.68</v>
      </c>
      <c r="J449" s="12">
        <v>0.05</v>
      </c>
      <c r="K449" s="9">
        <v>130.19999999999999</v>
      </c>
      <c r="L449" s="9">
        <v>18.309999999999999</v>
      </c>
      <c r="M449" s="9">
        <f t="shared" si="6"/>
        <v>6.8520000000000003</v>
      </c>
    </row>
    <row r="450" spans="1:13" x14ac:dyDescent="0.3">
      <c r="A450" t="s">
        <v>712</v>
      </c>
      <c r="B450" s="1">
        <v>45791</v>
      </c>
      <c r="C450" t="s">
        <v>713</v>
      </c>
      <c r="D450" t="s">
        <v>40</v>
      </c>
      <c r="E450" t="s">
        <v>26</v>
      </c>
      <c r="F450" t="s">
        <v>27</v>
      </c>
      <c r="G450" t="s">
        <v>17</v>
      </c>
      <c r="H450">
        <v>1</v>
      </c>
      <c r="I450" s="12">
        <v>73.36</v>
      </c>
      <c r="J450" s="12">
        <v>0.05</v>
      </c>
      <c r="K450" s="9">
        <v>69.7</v>
      </c>
      <c r="L450" s="9">
        <v>18.170000000000002</v>
      </c>
      <c r="M450" s="9">
        <f t="shared" si="6"/>
        <v>3.6680000000000001</v>
      </c>
    </row>
    <row r="451" spans="1:13" x14ac:dyDescent="0.3">
      <c r="A451" t="s">
        <v>714</v>
      </c>
      <c r="B451" s="1">
        <v>45791</v>
      </c>
      <c r="C451" t="s">
        <v>408</v>
      </c>
      <c r="D451" t="s">
        <v>14</v>
      </c>
      <c r="E451" t="s">
        <v>26</v>
      </c>
      <c r="F451" t="s">
        <v>27</v>
      </c>
      <c r="G451" t="s">
        <v>28</v>
      </c>
      <c r="H451">
        <v>1</v>
      </c>
      <c r="I451" s="12">
        <v>70.099999999999994</v>
      </c>
      <c r="J451" s="12">
        <v>0.05</v>
      </c>
      <c r="K451" s="9">
        <v>66.599999999999994</v>
      </c>
      <c r="L451" s="9">
        <v>13.91</v>
      </c>
      <c r="M451" s="9">
        <f t="shared" ref="M451:M514" si="7">H451*I451*J451</f>
        <v>3.5049999999999999</v>
      </c>
    </row>
    <row r="452" spans="1:13" x14ac:dyDescent="0.3">
      <c r="A452" t="s">
        <v>715</v>
      </c>
      <c r="B452" s="1">
        <v>45792</v>
      </c>
      <c r="C452" t="s">
        <v>613</v>
      </c>
      <c r="D452" t="s">
        <v>25</v>
      </c>
      <c r="E452" t="s">
        <v>110</v>
      </c>
      <c r="F452" t="s">
        <v>42</v>
      </c>
      <c r="G452" t="s">
        <v>17</v>
      </c>
      <c r="H452">
        <v>4</v>
      </c>
      <c r="I452" s="12">
        <v>19.97</v>
      </c>
      <c r="J452" s="12">
        <v>0.05</v>
      </c>
      <c r="K452" s="9">
        <v>75.89</v>
      </c>
      <c r="L452" s="9">
        <v>15.17</v>
      </c>
      <c r="M452" s="9">
        <f t="shared" si="7"/>
        <v>3.9939999999999998</v>
      </c>
    </row>
    <row r="453" spans="1:13" x14ac:dyDescent="0.3">
      <c r="A453" t="s">
        <v>716</v>
      </c>
      <c r="B453" s="1">
        <v>45792</v>
      </c>
      <c r="C453" t="s">
        <v>82</v>
      </c>
      <c r="D453" t="s">
        <v>40</v>
      </c>
      <c r="E453" t="s">
        <v>56</v>
      </c>
      <c r="F453" t="s">
        <v>21</v>
      </c>
      <c r="G453" t="s">
        <v>22</v>
      </c>
      <c r="H453">
        <v>4</v>
      </c>
      <c r="I453" s="12">
        <v>308.26</v>
      </c>
      <c r="J453" s="12">
        <v>0.15</v>
      </c>
      <c r="K453" s="9">
        <v>1048.07</v>
      </c>
      <c r="L453" s="9">
        <v>73.95</v>
      </c>
      <c r="M453" s="9">
        <f t="shared" si="7"/>
        <v>184.95599999999999</v>
      </c>
    </row>
    <row r="454" spans="1:13" x14ac:dyDescent="0.3">
      <c r="A454" t="s">
        <v>717</v>
      </c>
      <c r="B454" s="1">
        <v>45794</v>
      </c>
      <c r="C454" t="s">
        <v>718</v>
      </c>
      <c r="D454" t="s">
        <v>25</v>
      </c>
      <c r="E454" t="s">
        <v>20</v>
      </c>
      <c r="F454" t="s">
        <v>21</v>
      </c>
      <c r="G454" t="s">
        <v>17</v>
      </c>
      <c r="H454">
        <v>4</v>
      </c>
      <c r="I454" s="12">
        <v>175.28</v>
      </c>
      <c r="J454" s="12">
        <v>0</v>
      </c>
      <c r="K454" s="9">
        <v>701.12</v>
      </c>
      <c r="L454" s="9">
        <v>115.54</v>
      </c>
      <c r="M454" s="9">
        <f t="shared" si="7"/>
        <v>0</v>
      </c>
    </row>
    <row r="455" spans="1:13" x14ac:dyDescent="0.3">
      <c r="A455" t="s">
        <v>719</v>
      </c>
      <c r="B455" s="1">
        <v>45794</v>
      </c>
      <c r="C455" t="s">
        <v>387</v>
      </c>
      <c r="D455" t="s">
        <v>25</v>
      </c>
      <c r="E455" t="s">
        <v>110</v>
      </c>
      <c r="F455" t="s">
        <v>42</v>
      </c>
      <c r="G455" t="s">
        <v>32</v>
      </c>
      <c r="H455">
        <v>3</v>
      </c>
      <c r="I455" s="12">
        <v>20.239999999999998</v>
      </c>
      <c r="J455" s="12">
        <v>0.1</v>
      </c>
      <c r="K455" s="9">
        <v>54.64</v>
      </c>
      <c r="L455" s="9">
        <v>10.050000000000001</v>
      </c>
      <c r="M455" s="9">
        <f t="shared" si="7"/>
        <v>6.0720000000000001</v>
      </c>
    </row>
    <row r="456" spans="1:13" x14ac:dyDescent="0.3">
      <c r="A456" t="s">
        <v>720</v>
      </c>
      <c r="B456" s="1">
        <v>45794</v>
      </c>
      <c r="C456" t="s">
        <v>721</v>
      </c>
      <c r="D456" t="s">
        <v>14</v>
      </c>
      <c r="E456" t="s">
        <v>41</v>
      </c>
      <c r="F456" t="s">
        <v>42</v>
      </c>
      <c r="G456" t="s">
        <v>17</v>
      </c>
      <c r="H456">
        <v>3</v>
      </c>
      <c r="I456" s="12">
        <v>51.72</v>
      </c>
      <c r="J456" s="12">
        <v>0.05</v>
      </c>
      <c r="K456" s="9">
        <v>147.41</v>
      </c>
      <c r="L456" s="9">
        <v>13.51</v>
      </c>
      <c r="M456" s="9">
        <f t="shared" si="7"/>
        <v>7.758</v>
      </c>
    </row>
    <row r="457" spans="1:13" x14ac:dyDescent="0.3">
      <c r="A457" t="s">
        <v>722</v>
      </c>
      <c r="B457" s="1">
        <v>45795</v>
      </c>
      <c r="C457" t="s">
        <v>457</v>
      </c>
      <c r="D457" t="s">
        <v>40</v>
      </c>
      <c r="E457" t="s">
        <v>41</v>
      </c>
      <c r="F457" t="s">
        <v>42</v>
      </c>
      <c r="G457" t="s">
        <v>28</v>
      </c>
      <c r="H457">
        <v>4</v>
      </c>
      <c r="I457" s="12">
        <v>54.02</v>
      </c>
      <c r="J457" s="12">
        <v>0.1</v>
      </c>
      <c r="K457" s="9">
        <v>194.46</v>
      </c>
      <c r="L457" s="9">
        <v>20.399999999999999</v>
      </c>
      <c r="M457" s="9">
        <f t="shared" si="7"/>
        <v>21.608000000000004</v>
      </c>
    </row>
    <row r="458" spans="1:13" x14ac:dyDescent="0.3">
      <c r="A458" t="s">
        <v>723</v>
      </c>
      <c r="B458" s="1">
        <v>45795</v>
      </c>
      <c r="C458" t="s">
        <v>275</v>
      </c>
      <c r="D458" t="s">
        <v>25</v>
      </c>
      <c r="E458" t="s">
        <v>26</v>
      </c>
      <c r="F458" t="s">
        <v>27</v>
      </c>
      <c r="G458" t="s">
        <v>32</v>
      </c>
      <c r="H458">
        <v>1</v>
      </c>
      <c r="I458" s="12">
        <v>69.97</v>
      </c>
      <c r="J458" s="12">
        <v>0</v>
      </c>
      <c r="K458" s="9">
        <v>69.97</v>
      </c>
      <c r="L458" s="9">
        <v>10.220000000000001</v>
      </c>
      <c r="M458" s="9">
        <f t="shared" si="7"/>
        <v>0</v>
      </c>
    </row>
    <row r="459" spans="1:13" x14ac:dyDescent="0.3">
      <c r="A459" t="s">
        <v>724</v>
      </c>
      <c r="B459" s="1">
        <v>45795</v>
      </c>
      <c r="C459" t="s">
        <v>332</v>
      </c>
      <c r="D459" t="s">
        <v>25</v>
      </c>
      <c r="E459" t="s">
        <v>56</v>
      </c>
      <c r="F459" t="s">
        <v>21</v>
      </c>
      <c r="G459" t="s">
        <v>22</v>
      </c>
      <c r="H459">
        <v>1</v>
      </c>
      <c r="I459" s="12">
        <v>318.16000000000003</v>
      </c>
      <c r="J459" s="12">
        <v>0.15</v>
      </c>
      <c r="K459" s="9">
        <v>270.44</v>
      </c>
      <c r="L459" s="9">
        <v>23.74</v>
      </c>
      <c r="M459" s="9">
        <f t="shared" si="7"/>
        <v>47.724000000000004</v>
      </c>
    </row>
    <row r="460" spans="1:13" x14ac:dyDescent="0.3">
      <c r="A460" t="s">
        <v>725</v>
      </c>
      <c r="B460" s="1">
        <v>45795</v>
      </c>
      <c r="C460" t="s">
        <v>53</v>
      </c>
      <c r="D460" t="s">
        <v>14</v>
      </c>
      <c r="E460" t="s">
        <v>31</v>
      </c>
      <c r="F460" t="s">
        <v>21</v>
      </c>
      <c r="G460" t="s">
        <v>17</v>
      </c>
      <c r="H460">
        <v>1</v>
      </c>
      <c r="I460" s="12">
        <v>39.229999999999997</v>
      </c>
      <c r="J460" s="12">
        <v>0.2</v>
      </c>
      <c r="K460" s="9">
        <v>31.38</v>
      </c>
      <c r="L460" s="9">
        <v>6.48</v>
      </c>
      <c r="M460" s="9">
        <f t="shared" si="7"/>
        <v>7.8460000000000001</v>
      </c>
    </row>
    <row r="461" spans="1:13" x14ac:dyDescent="0.3">
      <c r="A461" t="s">
        <v>726</v>
      </c>
      <c r="B461" s="1">
        <v>45795</v>
      </c>
      <c r="C461" t="s">
        <v>205</v>
      </c>
      <c r="D461" t="s">
        <v>14</v>
      </c>
      <c r="E461" t="s">
        <v>31</v>
      </c>
      <c r="F461" t="s">
        <v>21</v>
      </c>
      <c r="G461" t="s">
        <v>22</v>
      </c>
      <c r="H461">
        <v>1</v>
      </c>
      <c r="I461" s="12">
        <v>42.33</v>
      </c>
      <c r="J461" s="12">
        <v>0</v>
      </c>
      <c r="K461" s="9">
        <v>42.33</v>
      </c>
      <c r="L461" s="9">
        <v>9.9600000000000009</v>
      </c>
      <c r="M461" s="9">
        <f t="shared" si="7"/>
        <v>0</v>
      </c>
    </row>
    <row r="462" spans="1:13" x14ac:dyDescent="0.3">
      <c r="A462" t="s">
        <v>727</v>
      </c>
      <c r="B462" s="1">
        <v>45796</v>
      </c>
      <c r="C462" t="s">
        <v>704</v>
      </c>
      <c r="D462" t="s">
        <v>40</v>
      </c>
      <c r="E462" t="s">
        <v>37</v>
      </c>
      <c r="F462" t="s">
        <v>27</v>
      </c>
      <c r="G462" t="s">
        <v>17</v>
      </c>
      <c r="H462">
        <v>1</v>
      </c>
      <c r="I462" s="12">
        <v>212.04</v>
      </c>
      <c r="J462" s="12">
        <v>0.05</v>
      </c>
      <c r="K462" s="9">
        <v>201.44</v>
      </c>
      <c r="L462" s="9">
        <v>36.409999999999997</v>
      </c>
      <c r="M462" s="9">
        <f t="shared" si="7"/>
        <v>10.602</v>
      </c>
    </row>
    <row r="463" spans="1:13" x14ac:dyDescent="0.3">
      <c r="A463" t="s">
        <v>728</v>
      </c>
      <c r="B463" s="1">
        <v>45796</v>
      </c>
      <c r="C463" t="s">
        <v>128</v>
      </c>
      <c r="D463" t="s">
        <v>40</v>
      </c>
      <c r="E463" t="s">
        <v>37</v>
      </c>
      <c r="F463" t="s">
        <v>27</v>
      </c>
      <c r="G463" t="s">
        <v>28</v>
      </c>
      <c r="H463">
        <v>1</v>
      </c>
      <c r="I463" s="12">
        <v>193.13</v>
      </c>
      <c r="J463" s="12">
        <v>0</v>
      </c>
      <c r="K463" s="9">
        <v>193.13</v>
      </c>
      <c r="L463" s="9">
        <v>40.96</v>
      </c>
      <c r="M463" s="9">
        <f t="shared" si="7"/>
        <v>0</v>
      </c>
    </row>
    <row r="464" spans="1:13" x14ac:dyDescent="0.3">
      <c r="A464" t="s">
        <v>729</v>
      </c>
      <c r="B464" s="1">
        <v>45796</v>
      </c>
      <c r="C464" t="s">
        <v>315</v>
      </c>
      <c r="D464" t="s">
        <v>25</v>
      </c>
      <c r="E464" t="s">
        <v>15</v>
      </c>
      <c r="F464" t="s">
        <v>16</v>
      </c>
      <c r="G464" t="s">
        <v>32</v>
      </c>
      <c r="H464">
        <v>3</v>
      </c>
      <c r="I464" s="12">
        <v>13.34</v>
      </c>
      <c r="J464" s="12">
        <v>0.15</v>
      </c>
      <c r="K464" s="9">
        <v>34.03</v>
      </c>
      <c r="L464" s="9">
        <v>5.6</v>
      </c>
      <c r="M464" s="9">
        <f t="shared" si="7"/>
        <v>6.0029999999999992</v>
      </c>
    </row>
    <row r="465" spans="1:13" x14ac:dyDescent="0.3">
      <c r="A465" t="s">
        <v>730</v>
      </c>
      <c r="B465" s="1">
        <v>45797</v>
      </c>
      <c r="C465" t="s">
        <v>107</v>
      </c>
      <c r="D465" t="s">
        <v>25</v>
      </c>
      <c r="E465" t="s">
        <v>31</v>
      </c>
      <c r="F465" t="s">
        <v>21</v>
      </c>
      <c r="G465" t="s">
        <v>28</v>
      </c>
      <c r="H465">
        <v>4</v>
      </c>
      <c r="I465" s="12">
        <v>40.619999999999997</v>
      </c>
      <c r="J465" s="12">
        <v>0.05</v>
      </c>
      <c r="K465" s="9">
        <v>154.36000000000001</v>
      </c>
      <c r="L465" s="9">
        <v>15.5</v>
      </c>
      <c r="M465" s="9">
        <f t="shared" si="7"/>
        <v>8.1240000000000006</v>
      </c>
    </row>
    <row r="466" spans="1:13" x14ac:dyDescent="0.3">
      <c r="A466" t="s">
        <v>731</v>
      </c>
      <c r="B466" s="1">
        <v>45798</v>
      </c>
      <c r="C466" t="s">
        <v>732</v>
      </c>
      <c r="D466" t="s">
        <v>14</v>
      </c>
      <c r="E466" t="s">
        <v>37</v>
      </c>
      <c r="F466" t="s">
        <v>27</v>
      </c>
      <c r="G466" t="s">
        <v>17</v>
      </c>
      <c r="H466">
        <v>2</v>
      </c>
      <c r="I466" s="12">
        <v>215.02</v>
      </c>
      <c r="J466" s="12">
        <v>0</v>
      </c>
      <c r="K466" s="9">
        <v>430.05</v>
      </c>
      <c r="L466" s="9">
        <v>90.33</v>
      </c>
      <c r="M466" s="9">
        <f t="shared" si="7"/>
        <v>0</v>
      </c>
    </row>
    <row r="467" spans="1:13" x14ac:dyDescent="0.3">
      <c r="A467" t="s">
        <v>733</v>
      </c>
      <c r="B467" s="1">
        <v>45798</v>
      </c>
      <c r="C467" t="s">
        <v>58</v>
      </c>
      <c r="D467" t="s">
        <v>14</v>
      </c>
      <c r="E467" t="s">
        <v>54</v>
      </c>
      <c r="F467" t="s">
        <v>27</v>
      </c>
      <c r="G467" t="s">
        <v>22</v>
      </c>
      <c r="H467">
        <v>1</v>
      </c>
      <c r="I467" s="12">
        <v>26.24</v>
      </c>
      <c r="J467" s="12">
        <v>0</v>
      </c>
      <c r="K467" s="9">
        <v>26.24</v>
      </c>
      <c r="L467" s="9">
        <v>4.79</v>
      </c>
      <c r="M467" s="9">
        <f t="shared" si="7"/>
        <v>0</v>
      </c>
    </row>
    <row r="468" spans="1:13" x14ac:dyDescent="0.3">
      <c r="A468" t="s">
        <v>734</v>
      </c>
      <c r="B468" s="1">
        <v>45798</v>
      </c>
      <c r="C468" t="s">
        <v>181</v>
      </c>
      <c r="D468" t="s">
        <v>40</v>
      </c>
      <c r="E468" t="s">
        <v>41</v>
      </c>
      <c r="F468" t="s">
        <v>42</v>
      </c>
      <c r="G468" t="s">
        <v>32</v>
      </c>
      <c r="H468">
        <v>1</v>
      </c>
      <c r="I468" s="12">
        <v>56.69</v>
      </c>
      <c r="J468" s="12">
        <v>0</v>
      </c>
      <c r="K468" s="9">
        <v>56.69</v>
      </c>
      <c r="L468" s="9">
        <v>13.31</v>
      </c>
      <c r="M468" s="9">
        <f t="shared" si="7"/>
        <v>0</v>
      </c>
    </row>
    <row r="469" spans="1:13" x14ac:dyDescent="0.3">
      <c r="A469" t="s">
        <v>735</v>
      </c>
      <c r="B469" s="1">
        <v>45798</v>
      </c>
      <c r="C469" t="s">
        <v>736</v>
      </c>
      <c r="D469" t="s">
        <v>14</v>
      </c>
      <c r="E469" t="s">
        <v>20</v>
      </c>
      <c r="F469" t="s">
        <v>21</v>
      </c>
      <c r="G469" t="s">
        <v>32</v>
      </c>
      <c r="H469">
        <v>2</v>
      </c>
      <c r="I469" s="12">
        <v>164.88</v>
      </c>
      <c r="J469" s="12">
        <v>0</v>
      </c>
      <c r="K469" s="9">
        <v>329.76</v>
      </c>
      <c r="L469" s="9">
        <v>77.61</v>
      </c>
      <c r="M469" s="9">
        <f t="shared" si="7"/>
        <v>0</v>
      </c>
    </row>
    <row r="470" spans="1:13" x14ac:dyDescent="0.3">
      <c r="A470" t="s">
        <v>737</v>
      </c>
      <c r="B470" s="1">
        <v>45799</v>
      </c>
      <c r="C470" t="s">
        <v>738</v>
      </c>
      <c r="D470" t="s">
        <v>14</v>
      </c>
      <c r="E470" t="s">
        <v>110</v>
      </c>
      <c r="F470" t="s">
        <v>42</v>
      </c>
      <c r="G470" t="s">
        <v>32</v>
      </c>
      <c r="H470">
        <v>3</v>
      </c>
      <c r="I470" s="12">
        <v>20.079999999999998</v>
      </c>
      <c r="J470" s="12">
        <v>0.05</v>
      </c>
      <c r="K470" s="9">
        <v>57.24</v>
      </c>
      <c r="L470" s="9">
        <v>13.82</v>
      </c>
      <c r="M470" s="9">
        <f t="shared" si="7"/>
        <v>3.012</v>
      </c>
    </row>
    <row r="471" spans="1:13" x14ac:dyDescent="0.3">
      <c r="A471" t="s">
        <v>739</v>
      </c>
      <c r="B471" s="1">
        <v>45799</v>
      </c>
      <c r="C471" t="s">
        <v>74</v>
      </c>
      <c r="D471" t="s">
        <v>14</v>
      </c>
      <c r="E471" t="s">
        <v>110</v>
      </c>
      <c r="F471" t="s">
        <v>42</v>
      </c>
      <c r="G471" t="s">
        <v>17</v>
      </c>
      <c r="H471">
        <v>4</v>
      </c>
      <c r="I471" s="12">
        <v>24.1</v>
      </c>
      <c r="J471" s="12">
        <v>0.15</v>
      </c>
      <c r="K471" s="9">
        <v>81.93</v>
      </c>
      <c r="L471" s="9">
        <v>19.25</v>
      </c>
      <c r="M471" s="9">
        <f t="shared" si="7"/>
        <v>14.46</v>
      </c>
    </row>
    <row r="472" spans="1:13" x14ac:dyDescent="0.3">
      <c r="A472" t="s">
        <v>740</v>
      </c>
      <c r="B472" s="1">
        <v>45799</v>
      </c>
      <c r="C472" t="s">
        <v>686</v>
      </c>
      <c r="D472" t="s">
        <v>14</v>
      </c>
      <c r="E472" t="s">
        <v>15</v>
      </c>
      <c r="F472" t="s">
        <v>16</v>
      </c>
      <c r="G472" t="s">
        <v>17</v>
      </c>
      <c r="H472">
        <v>1</v>
      </c>
      <c r="I472" s="12">
        <v>14.38</v>
      </c>
      <c r="J472" s="12">
        <v>0.15</v>
      </c>
      <c r="K472" s="9">
        <v>12.22</v>
      </c>
      <c r="L472" s="9">
        <v>2.2400000000000002</v>
      </c>
      <c r="M472" s="9">
        <f t="shared" si="7"/>
        <v>2.157</v>
      </c>
    </row>
    <row r="473" spans="1:13" x14ac:dyDescent="0.3">
      <c r="A473" t="s">
        <v>741</v>
      </c>
      <c r="B473" s="1">
        <v>45800</v>
      </c>
      <c r="C473" t="s">
        <v>299</v>
      </c>
      <c r="D473" t="s">
        <v>25</v>
      </c>
      <c r="E473" t="s">
        <v>56</v>
      </c>
      <c r="F473" t="s">
        <v>21</v>
      </c>
      <c r="G473" t="s">
        <v>28</v>
      </c>
      <c r="H473">
        <v>1</v>
      </c>
      <c r="I473" s="12">
        <v>298.11</v>
      </c>
      <c r="J473" s="12">
        <v>0</v>
      </c>
      <c r="K473" s="9">
        <v>298.11</v>
      </c>
      <c r="L473" s="9">
        <v>64.34</v>
      </c>
      <c r="M473" s="9">
        <f t="shared" si="7"/>
        <v>0</v>
      </c>
    </row>
    <row r="474" spans="1:13" x14ac:dyDescent="0.3">
      <c r="A474" t="s">
        <v>742</v>
      </c>
      <c r="B474" s="1">
        <v>45800</v>
      </c>
      <c r="C474" t="s">
        <v>585</v>
      </c>
      <c r="D474" t="s">
        <v>40</v>
      </c>
      <c r="E474" t="s">
        <v>15</v>
      </c>
      <c r="F474" t="s">
        <v>16</v>
      </c>
      <c r="G474" t="s">
        <v>32</v>
      </c>
      <c r="H474">
        <v>1</v>
      </c>
      <c r="I474" s="12">
        <v>15.25</v>
      </c>
      <c r="J474" s="12">
        <v>0</v>
      </c>
      <c r="K474" s="9">
        <v>15.25</v>
      </c>
      <c r="L474" s="9">
        <v>2.93</v>
      </c>
      <c r="M474" s="9">
        <f t="shared" si="7"/>
        <v>0</v>
      </c>
    </row>
    <row r="475" spans="1:13" x14ac:dyDescent="0.3">
      <c r="A475" t="s">
        <v>743</v>
      </c>
      <c r="B475" s="1">
        <v>45800</v>
      </c>
      <c r="C475" t="s">
        <v>682</v>
      </c>
      <c r="D475" t="s">
        <v>14</v>
      </c>
      <c r="E475" t="s">
        <v>51</v>
      </c>
      <c r="F475" t="s">
        <v>27</v>
      </c>
      <c r="G475" t="s">
        <v>28</v>
      </c>
      <c r="H475">
        <v>1</v>
      </c>
      <c r="I475" s="12">
        <v>858.82</v>
      </c>
      <c r="J475" s="12">
        <v>0.15</v>
      </c>
      <c r="K475" s="9">
        <v>730</v>
      </c>
      <c r="L475" s="9">
        <v>144.09</v>
      </c>
      <c r="M475" s="9">
        <f t="shared" si="7"/>
        <v>128.82300000000001</v>
      </c>
    </row>
    <row r="476" spans="1:13" x14ac:dyDescent="0.3">
      <c r="A476" t="s">
        <v>744</v>
      </c>
      <c r="B476" s="1">
        <v>45800</v>
      </c>
      <c r="C476" t="s">
        <v>511</v>
      </c>
      <c r="D476" t="s">
        <v>25</v>
      </c>
      <c r="E476" t="s">
        <v>110</v>
      </c>
      <c r="F476" t="s">
        <v>42</v>
      </c>
      <c r="G476" t="s">
        <v>28</v>
      </c>
      <c r="H476">
        <v>1</v>
      </c>
      <c r="I476" s="12">
        <v>23.87</v>
      </c>
      <c r="J476" s="12">
        <v>0.1</v>
      </c>
      <c r="K476" s="9">
        <v>21.48</v>
      </c>
      <c r="L476" s="9">
        <v>1.99</v>
      </c>
      <c r="M476" s="9">
        <f t="shared" si="7"/>
        <v>2.387</v>
      </c>
    </row>
    <row r="477" spans="1:13" x14ac:dyDescent="0.3">
      <c r="A477" t="s">
        <v>745</v>
      </c>
      <c r="B477" s="1">
        <v>45801</v>
      </c>
      <c r="C477" t="s">
        <v>53</v>
      </c>
      <c r="D477" t="s">
        <v>14</v>
      </c>
      <c r="E477" t="s">
        <v>65</v>
      </c>
      <c r="F477" t="s">
        <v>16</v>
      </c>
      <c r="G477" t="s">
        <v>28</v>
      </c>
      <c r="H477">
        <v>2</v>
      </c>
      <c r="I477" s="12">
        <v>17.989999999999998</v>
      </c>
      <c r="J477" s="12">
        <v>0</v>
      </c>
      <c r="K477" s="9">
        <v>35.99</v>
      </c>
      <c r="L477" s="9">
        <v>6.87</v>
      </c>
      <c r="M477" s="9">
        <f t="shared" si="7"/>
        <v>0</v>
      </c>
    </row>
    <row r="478" spans="1:13" x14ac:dyDescent="0.3">
      <c r="A478" t="s">
        <v>746</v>
      </c>
      <c r="B478" s="1">
        <v>45801</v>
      </c>
      <c r="C478" t="s">
        <v>646</v>
      </c>
      <c r="D478" t="s">
        <v>14</v>
      </c>
      <c r="E478" t="s">
        <v>37</v>
      </c>
      <c r="F478" t="s">
        <v>27</v>
      </c>
      <c r="G478" t="s">
        <v>22</v>
      </c>
      <c r="H478">
        <v>2</v>
      </c>
      <c r="I478" s="12">
        <v>221.01</v>
      </c>
      <c r="J478" s="12">
        <v>0</v>
      </c>
      <c r="K478" s="9">
        <v>442.02</v>
      </c>
      <c r="L478" s="9">
        <v>118.12</v>
      </c>
      <c r="M478" s="9">
        <f t="shared" si="7"/>
        <v>0</v>
      </c>
    </row>
    <row r="479" spans="1:13" x14ac:dyDescent="0.3">
      <c r="A479" t="s">
        <v>747</v>
      </c>
      <c r="B479" s="1">
        <v>45801</v>
      </c>
      <c r="C479" t="s">
        <v>64</v>
      </c>
      <c r="D479" t="s">
        <v>14</v>
      </c>
      <c r="E479" t="s">
        <v>20</v>
      </c>
      <c r="F479" t="s">
        <v>21</v>
      </c>
      <c r="G479" t="s">
        <v>22</v>
      </c>
      <c r="H479">
        <v>3</v>
      </c>
      <c r="I479" s="12">
        <v>179.36</v>
      </c>
      <c r="J479" s="12">
        <v>0.15</v>
      </c>
      <c r="K479" s="9">
        <v>457.36</v>
      </c>
      <c r="L479" s="9">
        <v>96.45</v>
      </c>
      <c r="M479" s="9">
        <f t="shared" si="7"/>
        <v>80.712000000000003</v>
      </c>
    </row>
    <row r="480" spans="1:13" x14ac:dyDescent="0.3">
      <c r="A480" t="s">
        <v>748</v>
      </c>
      <c r="B480" s="1">
        <v>45801</v>
      </c>
      <c r="C480" t="s">
        <v>134</v>
      </c>
      <c r="D480" t="s">
        <v>14</v>
      </c>
      <c r="E480" t="s">
        <v>31</v>
      </c>
      <c r="F480" t="s">
        <v>21</v>
      </c>
      <c r="G480" t="s">
        <v>17</v>
      </c>
      <c r="H480">
        <v>5</v>
      </c>
      <c r="I480" s="12">
        <v>42.34</v>
      </c>
      <c r="J480" s="12">
        <v>0.15</v>
      </c>
      <c r="K480" s="9">
        <v>179.93</v>
      </c>
      <c r="L480" s="9">
        <v>38.54</v>
      </c>
      <c r="M480" s="9">
        <f t="shared" si="7"/>
        <v>31.755000000000003</v>
      </c>
    </row>
    <row r="481" spans="1:13" x14ac:dyDescent="0.3">
      <c r="A481" t="s">
        <v>749</v>
      </c>
      <c r="B481" s="1">
        <v>45801</v>
      </c>
      <c r="C481" t="s">
        <v>287</v>
      </c>
      <c r="D481" t="s">
        <v>40</v>
      </c>
      <c r="E481" t="s">
        <v>92</v>
      </c>
      <c r="F481" t="s">
        <v>16</v>
      </c>
      <c r="G481" t="s">
        <v>28</v>
      </c>
      <c r="H481">
        <v>1</v>
      </c>
      <c r="I481" s="12">
        <v>8.7100000000000009</v>
      </c>
      <c r="J481" s="12">
        <v>0.1</v>
      </c>
      <c r="K481" s="9">
        <v>7.84</v>
      </c>
      <c r="L481" s="9">
        <v>1.8</v>
      </c>
      <c r="M481" s="9">
        <f t="shared" si="7"/>
        <v>0.87100000000000011</v>
      </c>
    </row>
    <row r="482" spans="1:13" x14ac:dyDescent="0.3">
      <c r="A482" t="s">
        <v>750</v>
      </c>
      <c r="B482" s="1">
        <v>45801</v>
      </c>
      <c r="C482" t="s">
        <v>523</v>
      </c>
      <c r="D482" t="s">
        <v>25</v>
      </c>
      <c r="E482" t="s">
        <v>92</v>
      </c>
      <c r="F482" t="s">
        <v>16</v>
      </c>
      <c r="G482" t="s">
        <v>32</v>
      </c>
      <c r="H482">
        <v>5</v>
      </c>
      <c r="I482" s="12">
        <v>8.1999999999999993</v>
      </c>
      <c r="J482" s="12">
        <v>0.2</v>
      </c>
      <c r="K482" s="9">
        <v>32.799999999999997</v>
      </c>
      <c r="L482" s="9">
        <v>5.94</v>
      </c>
      <c r="M482" s="9">
        <f t="shared" si="7"/>
        <v>8.2000000000000011</v>
      </c>
    </row>
    <row r="483" spans="1:13" x14ac:dyDescent="0.3">
      <c r="A483" t="s">
        <v>751</v>
      </c>
      <c r="B483" s="1">
        <v>45803</v>
      </c>
      <c r="C483" t="s">
        <v>436</v>
      </c>
      <c r="D483" t="s">
        <v>40</v>
      </c>
      <c r="E483" t="s">
        <v>20</v>
      </c>
      <c r="F483" t="s">
        <v>21</v>
      </c>
      <c r="G483" t="s">
        <v>17</v>
      </c>
      <c r="H483">
        <v>2</v>
      </c>
      <c r="I483" s="12">
        <v>172.4</v>
      </c>
      <c r="J483" s="12">
        <v>0.15</v>
      </c>
      <c r="K483" s="9">
        <v>293.08</v>
      </c>
      <c r="L483" s="9">
        <v>15.73</v>
      </c>
      <c r="M483" s="9">
        <f t="shared" si="7"/>
        <v>51.72</v>
      </c>
    </row>
    <row r="484" spans="1:13" x14ac:dyDescent="0.3">
      <c r="A484" t="s">
        <v>752</v>
      </c>
      <c r="B484" s="1">
        <v>45803</v>
      </c>
      <c r="C484" t="s">
        <v>62</v>
      </c>
      <c r="D484" t="s">
        <v>14</v>
      </c>
      <c r="E484" t="s">
        <v>41</v>
      </c>
      <c r="F484" t="s">
        <v>42</v>
      </c>
      <c r="G484" t="s">
        <v>32</v>
      </c>
      <c r="H484">
        <v>1</v>
      </c>
      <c r="I484" s="12">
        <v>52.18</v>
      </c>
      <c r="J484" s="12">
        <v>0.1</v>
      </c>
      <c r="K484" s="9">
        <v>46.96</v>
      </c>
      <c r="L484" s="9">
        <v>7.04</v>
      </c>
      <c r="M484" s="9">
        <f t="shared" si="7"/>
        <v>5.218</v>
      </c>
    </row>
    <row r="485" spans="1:13" x14ac:dyDescent="0.3">
      <c r="A485" t="s">
        <v>753</v>
      </c>
      <c r="B485" s="1">
        <v>45803</v>
      </c>
      <c r="C485" t="s">
        <v>177</v>
      </c>
      <c r="D485" t="s">
        <v>14</v>
      </c>
      <c r="E485" t="s">
        <v>20</v>
      </c>
      <c r="F485" t="s">
        <v>21</v>
      </c>
      <c r="G485" t="s">
        <v>17</v>
      </c>
      <c r="H485">
        <v>2</v>
      </c>
      <c r="I485" s="12">
        <v>177.9</v>
      </c>
      <c r="J485" s="12">
        <v>0.1</v>
      </c>
      <c r="K485" s="9">
        <v>320.20999999999998</v>
      </c>
      <c r="L485" s="9">
        <v>48.16</v>
      </c>
      <c r="M485" s="9">
        <f t="shared" si="7"/>
        <v>35.580000000000005</v>
      </c>
    </row>
    <row r="486" spans="1:13" x14ac:dyDescent="0.3">
      <c r="A486" t="s">
        <v>754</v>
      </c>
      <c r="B486" s="1">
        <v>45803</v>
      </c>
      <c r="C486" t="s">
        <v>686</v>
      </c>
      <c r="D486" t="s">
        <v>25</v>
      </c>
      <c r="E486" t="s">
        <v>56</v>
      </c>
      <c r="F486" t="s">
        <v>21</v>
      </c>
      <c r="G486" t="s">
        <v>28</v>
      </c>
      <c r="H486">
        <v>4</v>
      </c>
      <c r="I486" s="12">
        <v>311.82</v>
      </c>
      <c r="J486" s="12">
        <v>0</v>
      </c>
      <c r="K486" s="9">
        <v>1247.28</v>
      </c>
      <c r="L486" s="9">
        <v>215.91</v>
      </c>
      <c r="M486" s="9">
        <f t="shared" si="7"/>
        <v>0</v>
      </c>
    </row>
    <row r="487" spans="1:13" x14ac:dyDescent="0.3">
      <c r="A487" t="s">
        <v>755</v>
      </c>
      <c r="B487" s="1">
        <v>45804</v>
      </c>
      <c r="C487" t="s">
        <v>101</v>
      </c>
      <c r="D487" t="s">
        <v>14</v>
      </c>
      <c r="E487" t="s">
        <v>56</v>
      </c>
      <c r="F487" t="s">
        <v>21</v>
      </c>
      <c r="G487" t="s">
        <v>22</v>
      </c>
      <c r="H487">
        <v>1</v>
      </c>
      <c r="I487" s="12">
        <v>350.84</v>
      </c>
      <c r="J487" s="12">
        <v>0</v>
      </c>
      <c r="K487" s="9">
        <v>350.84</v>
      </c>
      <c r="L487" s="9">
        <v>59.67</v>
      </c>
      <c r="M487" s="9">
        <f t="shared" si="7"/>
        <v>0</v>
      </c>
    </row>
    <row r="488" spans="1:13" x14ac:dyDescent="0.3">
      <c r="A488" t="s">
        <v>756</v>
      </c>
      <c r="B488" s="1">
        <v>45805</v>
      </c>
      <c r="C488" t="s">
        <v>177</v>
      </c>
      <c r="D488" t="s">
        <v>14</v>
      </c>
      <c r="E488" t="s">
        <v>41</v>
      </c>
      <c r="F488" t="s">
        <v>42</v>
      </c>
      <c r="G488" t="s">
        <v>28</v>
      </c>
      <c r="H488">
        <v>1</v>
      </c>
      <c r="I488" s="12">
        <v>59.03</v>
      </c>
      <c r="J488" s="12">
        <v>0</v>
      </c>
      <c r="K488" s="9">
        <v>59.03</v>
      </c>
      <c r="L488" s="9">
        <v>7.27</v>
      </c>
      <c r="M488" s="9">
        <f t="shared" si="7"/>
        <v>0</v>
      </c>
    </row>
    <row r="489" spans="1:13" x14ac:dyDescent="0.3">
      <c r="A489" t="s">
        <v>757</v>
      </c>
      <c r="B489" s="1">
        <v>45805</v>
      </c>
      <c r="C489" t="s">
        <v>494</v>
      </c>
      <c r="D489" t="s">
        <v>14</v>
      </c>
      <c r="E489" t="s">
        <v>41</v>
      </c>
      <c r="F489" t="s">
        <v>42</v>
      </c>
      <c r="G489" t="s">
        <v>22</v>
      </c>
      <c r="H489">
        <v>2</v>
      </c>
      <c r="I489" s="12">
        <v>56.6</v>
      </c>
      <c r="J489" s="12">
        <v>0</v>
      </c>
      <c r="K489" s="9">
        <v>113.19</v>
      </c>
      <c r="L489" s="9">
        <v>13</v>
      </c>
      <c r="M489" s="9">
        <f t="shared" si="7"/>
        <v>0</v>
      </c>
    </row>
    <row r="490" spans="1:13" x14ac:dyDescent="0.3">
      <c r="A490" t="s">
        <v>758</v>
      </c>
      <c r="B490" s="1">
        <v>45806</v>
      </c>
      <c r="C490" t="s">
        <v>366</v>
      </c>
      <c r="D490" t="s">
        <v>40</v>
      </c>
      <c r="E490" t="s">
        <v>92</v>
      </c>
      <c r="F490" t="s">
        <v>16</v>
      </c>
      <c r="G490" t="s">
        <v>17</v>
      </c>
      <c r="H490">
        <v>1</v>
      </c>
      <c r="I490" s="12">
        <v>8.61</v>
      </c>
      <c r="J490" s="12">
        <v>0.1</v>
      </c>
      <c r="K490" s="9">
        <v>7.75</v>
      </c>
      <c r="L490" s="9">
        <v>1.67</v>
      </c>
      <c r="M490" s="9">
        <f t="shared" si="7"/>
        <v>0.86099999999999999</v>
      </c>
    </row>
    <row r="491" spans="1:13" x14ac:dyDescent="0.3">
      <c r="A491" t="s">
        <v>759</v>
      </c>
      <c r="B491" s="1">
        <v>45806</v>
      </c>
      <c r="C491" t="s">
        <v>760</v>
      </c>
      <c r="D491" t="s">
        <v>14</v>
      </c>
      <c r="E491" t="s">
        <v>56</v>
      </c>
      <c r="F491" t="s">
        <v>21</v>
      </c>
      <c r="G491" t="s">
        <v>32</v>
      </c>
      <c r="H491">
        <v>2</v>
      </c>
      <c r="I491" s="12">
        <v>324.55</v>
      </c>
      <c r="J491" s="12">
        <v>0.1</v>
      </c>
      <c r="K491" s="9">
        <v>584.19000000000005</v>
      </c>
      <c r="L491" s="9">
        <v>118.77</v>
      </c>
      <c r="M491" s="9">
        <f t="shared" si="7"/>
        <v>64.910000000000011</v>
      </c>
    </row>
    <row r="492" spans="1:13" x14ac:dyDescent="0.3">
      <c r="A492" t="s">
        <v>761</v>
      </c>
      <c r="B492" s="1">
        <v>45806</v>
      </c>
      <c r="C492" t="s">
        <v>60</v>
      </c>
      <c r="D492" t="s">
        <v>14</v>
      </c>
      <c r="E492" t="s">
        <v>15</v>
      </c>
      <c r="F492" t="s">
        <v>16</v>
      </c>
      <c r="G492" t="s">
        <v>32</v>
      </c>
      <c r="H492">
        <v>1</v>
      </c>
      <c r="I492" s="12">
        <v>15.13</v>
      </c>
      <c r="J492" s="12">
        <v>0.1</v>
      </c>
      <c r="K492" s="9">
        <v>13.61</v>
      </c>
      <c r="L492" s="9">
        <v>3.14</v>
      </c>
      <c r="M492" s="9">
        <f t="shared" si="7"/>
        <v>1.5130000000000001</v>
      </c>
    </row>
    <row r="493" spans="1:13" x14ac:dyDescent="0.3">
      <c r="A493" t="s">
        <v>762</v>
      </c>
      <c r="B493" s="1">
        <v>45806</v>
      </c>
      <c r="C493" t="s">
        <v>279</v>
      </c>
      <c r="D493" t="s">
        <v>14</v>
      </c>
      <c r="E493" t="s">
        <v>65</v>
      </c>
      <c r="F493" t="s">
        <v>16</v>
      </c>
      <c r="G493" t="s">
        <v>17</v>
      </c>
      <c r="H493">
        <v>1</v>
      </c>
      <c r="I493" s="12">
        <v>16.77</v>
      </c>
      <c r="J493" s="12">
        <v>0.05</v>
      </c>
      <c r="K493" s="9">
        <v>15.94</v>
      </c>
      <c r="L493" s="9">
        <v>3.98</v>
      </c>
      <c r="M493" s="9">
        <f t="shared" si="7"/>
        <v>0.83850000000000002</v>
      </c>
    </row>
    <row r="494" spans="1:13" x14ac:dyDescent="0.3">
      <c r="A494" t="s">
        <v>763</v>
      </c>
      <c r="B494" s="1">
        <v>45806</v>
      </c>
      <c r="C494" t="s">
        <v>91</v>
      </c>
      <c r="D494" t="s">
        <v>14</v>
      </c>
      <c r="E494" t="s">
        <v>31</v>
      </c>
      <c r="F494" t="s">
        <v>21</v>
      </c>
      <c r="G494" t="s">
        <v>22</v>
      </c>
      <c r="H494">
        <v>3</v>
      </c>
      <c r="I494" s="12">
        <v>44.3</v>
      </c>
      <c r="J494" s="12">
        <v>0.05</v>
      </c>
      <c r="K494" s="9">
        <v>126.25</v>
      </c>
      <c r="L494" s="9">
        <v>11.68</v>
      </c>
      <c r="M494" s="9">
        <f t="shared" si="7"/>
        <v>6.6449999999999996</v>
      </c>
    </row>
    <row r="495" spans="1:13" x14ac:dyDescent="0.3">
      <c r="A495" t="s">
        <v>764</v>
      </c>
      <c r="B495" s="1">
        <v>45806</v>
      </c>
      <c r="C495" t="s">
        <v>718</v>
      </c>
      <c r="D495" t="s">
        <v>14</v>
      </c>
      <c r="E495" t="s">
        <v>65</v>
      </c>
      <c r="F495" t="s">
        <v>16</v>
      </c>
      <c r="G495" t="s">
        <v>28</v>
      </c>
      <c r="H495">
        <v>1</v>
      </c>
      <c r="I495" s="12">
        <v>17.93</v>
      </c>
      <c r="J495" s="12">
        <v>0.1</v>
      </c>
      <c r="K495" s="9">
        <v>16.14</v>
      </c>
      <c r="L495" s="9">
        <v>1.4</v>
      </c>
      <c r="M495" s="9">
        <f t="shared" si="7"/>
        <v>1.7930000000000001</v>
      </c>
    </row>
    <row r="496" spans="1:13" x14ac:dyDescent="0.3">
      <c r="A496" t="s">
        <v>765</v>
      </c>
      <c r="B496" s="1">
        <v>45807</v>
      </c>
      <c r="C496" t="s">
        <v>97</v>
      </c>
      <c r="D496" t="s">
        <v>14</v>
      </c>
      <c r="E496" t="s">
        <v>41</v>
      </c>
      <c r="F496" t="s">
        <v>42</v>
      </c>
      <c r="G496" t="s">
        <v>32</v>
      </c>
      <c r="H496">
        <v>1</v>
      </c>
      <c r="I496" s="12">
        <v>52.33</v>
      </c>
      <c r="J496" s="12">
        <v>0.2</v>
      </c>
      <c r="K496" s="9">
        <v>41.86</v>
      </c>
      <c r="L496" s="9">
        <v>5.87</v>
      </c>
      <c r="M496" s="9">
        <f t="shared" si="7"/>
        <v>10.466000000000001</v>
      </c>
    </row>
    <row r="497" spans="1:13" x14ac:dyDescent="0.3">
      <c r="A497" t="s">
        <v>766</v>
      </c>
      <c r="B497" s="1">
        <v>45807</v>
      </c>
      <c r="C497" t="s">
        <v>231</v>
      </c>
      <c r="D497" t="s">
        <v>40</v>
      </c>
      <c r="E497" t="s">
        <v>92</v>
      </c>
      <c r="F497" t="s">
        <v>16</v>
      </c>
      <c r="G497" t="s">
        <v>28</v>
      </c>
      <c r="H497">
        <v>3</v>
      </c>
      <c r="I497" s="12">
        <v>9.4499999999999993</v>
      </c>
      <c r="J497" s="12">
        <v>0.15</v>
      </c>
      <c r="K497" s="9">
        <v>24.09</v>
      </c>
      <c r="L497" s="9">
        <v>3.17</v>
      </c>
      <c r="M497" s="9">
        <f t="shared" si="7"/>
        <v>4.2524999999999995</v>
      </c>
    </row>
    <row r="498" spans="1:13" x14ac:dyDescent="0.3">
      <c r="A498" t="s">
        <v>767</v>
      </c>
      <c r="B498" s="1">
        <v>45807</v>
      </c>
      <c r="C498" t="s">
        <v>285</v>
      </c>
      <c r="D498" t="s">
        <v>14</v>
      </c>
      <c r="E498" t="s">
        <v>37</v>
      </c>
      <c r="F498" t="s">
        <v>27</v>
      </c>
      <c r="G498" t="s">
        <v>22</v>
      </c>
      <c r="H498">
        <v>1</v>
      </c>
      <c r="I498" s="12">
        <v>225.85</v>
      </c>
      <c r="J498" s="12">
        <v>0.05</v>
      </c>
      <c r="K498" s="9">
        <v>214.56</v>
      </c>
      <c r="L498" s="9">
        <v>15.99</v>
      </c>
      <c r="M498" s="9">
        <f t="shared" si="7"/>
        <v>11.2925</v>
      </c>
    </row>
    <row r="499" spans="1:13" x14ac:dyDescent="0.3">
      <c r="A499" t="s">
        <v>768</v>
      </c>
      <c r="B499" s="1">
        <v>45809</v>
      </c>
      <c r="C499" t="s">
        <v>544</v>
      </c>
      <c r="D499" t="s">
        <v>40</v>
      </c>
      <c r="E499" t="s">
        <v>26</v>
      </c>
      <c r="F499" t="s">
        <v>27</v>
      </c>
      <c r="G499" t="s">
        <v>22</v>
      </c>
      <c r="H499">
        <v>2</v>
      </c>
      <c r="I499" s="12">
        <v>80.95</v>
      </c>
      <c r="J499" s="12">
        <v>0.05</v>
      </c>
      <c r="K499" s="9">
        <v>153.80000000000001</v>
      </c>
      <c r="L499" s="9">
        <v>17.16</v>
      </c>
      <c r="M499" s="9">
        <f t="shared" si="7"/>
        <v>8.0950000000000006</v>
      </c>
    </row>
    <row r="500" spans="1:13" x14ac:dyDescent="0.3">
      <c r="A500" t="s">
        <v>769</v>
      </c>
      <c r="B500" s="1">
        <v>45810</v>
      </c>
      <c r="C500" t="s">
        <v>770</v>
      </c>
      <c r="D500" t="s">
        <v>14</v>
      </c>
      <c r="E500" t="s">
        <v>31</v>
      </c>
      <c r="F500" t="s">
        <v>21</v>
      </c>
      <c r="G500" t="s">
        <v>28</v>
      </c>
      <c r="H500">
        <v>5</v>
      </c>
      <c r="I500" s="12">
        <v>42.9</v>
      </c>
      <c r="J500" s="12">
        <v>0.1</v>
      </c>
      <c r="K500" s="9">
        <v>193.07</v>
      </c>
      <c r="L500" s="9">
        <v>31.68</v>
      </c>
      <c r="M500" s="9">
        <f t="shared" si="7"/>
        <v>21.450000000000003</v>
      </c>
    </row>
    <row r="501" spans="1:13" x14ac:dyDescent="0.3">
      <c r="A501" t="s">
        <v>771</v>
      </c>
      <c r="B501" s="1">
        <v>45810</v>
      </c>
      <c r="C501" t="s">
        <v>569</v>
      </c>
      <c r="D501" t="s">
        <v>25</v>
      </c>
      <c r="E501" t="s">
        <v>37</v>
      </c>
      <c r="F501" t="s">
        <v>27</v>
      </c>
      <c r="G501" t="s">
        <v>32</v>
      </c>
      <c r="H501">
        <v>4</v>
      </c>
      <c r="I501" s="12">
        <v>218.5</v>
      </c>
      <c r="J501" s="12">
        <v>0.05</v>
      </c>
      <c r="K501" s="9">
        <v>830.3</v>
      </c>
      <c r="L501" s="9">
        <v>147.38999999999999</v>
      </c>
      <c r="M501" s="9">
        <f t="shared" si="7"/>
        <v>43.7</v>
      </c>
    </row>
    <row r="502" spans="1:13" x14ac:dyDescent="0.3">
      <c r="A502" t="s">
        <v>772</v>
      </c>
      <c r="B502" s="1">
        <v>45811</v>
      </c>
      <c r="C502" t="s">
        <v>219</v>
      </c>
      <c r="D502" t="s">
        <v>14</v>
      </c>
      <c r="E502" t="s">
        <v>110</v>
      </c>
      <c r="F502" t="s">
        <v>42</v>
      </c>
      <c r="G502" t="s">
        <v>28</v>
      </c>
      <c r="H502">
        <v>3</v>
      </c>
      <c r="I502" s="12">
        <v>22.74</v>
      </c>
      <c r="J502" s="12">
        <v>0.05</v>
      </c>
      <c r="K502" s="9">
        <v>64.8</v>
      </c>
      <c r="L502" s="9">
        <v>5.63</v>
      </c>
      <c r="M502" s="9">
        <f t="shared" si="7"/>
        <v>3.411</v>
      </c>
    </row>
    <row r="503" spans="1:13" x14ac:dyDescent="0.3">
      <c r="A503" t="s">
        <v>773</v>
      </c>
      <c r="B503" s="1">
        <v>45811</v>
      </c>
      <c r="C503" t="s">
        <v>179</v>
      </c>
      <c r="D503" t="s">
        <v>14</v>
      </c>
      <c r="E503" t="s">
        <v>65</v>
      </c>
      <c r="F503" t="s">
        <v>16</v>
      </c>
      <c r="G503" t="s">
        <v>22</v>
      </c>
      <c r="H503">
        <v>1</v>
      </c>
      <c r="I503" s="12">
        <v>18.89</v>
      </c>
      <c r="J503" s="12">
        <v>0.15</v>
      </c>
      <c r="K503" s="9">
        <v>16.059999999999999</v>
      </c>
      <c r="L503" s="9">
        <v>3.5</v>
      </c>
      <c r="M503" s="9">
        <f t="shared" si="7"/>
        <v>2.8334999999999999</v>
      </c>
    </row>
    <row r="504" spans="1:13" x14ac:dyDescent="0.3">
      <c r="A504" t="s">
        <v>774</v>
      </c>
      <c r="B504" s="1">
        <v>45811</v>
      </c>
      <c r="C504" t="s">
        <v>72</v>
      </c>
      <c r="D504" t="s">
        <v>14</v>
      </c>
      <c r="E504" t="s">
        <v>20</v>
      </c>
      <c r="F504" t="s">
        <v>21</v>
      </c>
      <c r="G504" t="s">
        <v>22</v>
      </c>
      <c r="H504">
        <v>1</v>
      </c>
      <c r="I504" s="12">
        <v>168.01</v>
      </c>
      <c r="J504" s="12">
        <v>0</v>
      </c>
      <c r="K504" s="9">
        <v>168.01</v>
      </c>
      <c r="L504" s="9">
        <v>19.53</v>
      </c>
      <c r="M504" s="9">
        <f t="shared" si="7"/>
        <v>0</v>
      </c>
    </row>
    <row r="505" spans="1:13" x14ac:dyDescent="0.3">
      <c r="A505" t="s">
        <v>775</v>
      </c>
      <c r="B505" s="1">
        <v>45811</v>
      </c>
      <c r="C505" t="s">
        <v>269</v>
      </c>
      <c r="D505" t="s">
        <v>14</v>
      </c>
      <c r="E505" t="s">
        <v>110</v>
      </c>
      <c r="F505" t="s">
        <v>42</v>
      </c>
      <c r="G505" t="s">
        <v>22</v>
      </c>
      <c r="H505">
        <v>4</v>
      </c>
      <c r="I505" s="12">
        <v>21.69</v>
      </c>
      <c r="J505" s="12">
        <v>0</v>
      </c>
      <c r="K505" s="9">
        <v>86.77</v>
      </c>
      <c r="L505" s="9">
        <v>19.02</v>
      </c>
      <c r="M505" s="9">
        <f t="shared" si="7"/>
        <v>0</v>
      </c>
    </row>
    <row r="506" spans="1:13" x14ac:dyDescent="0.3">
      <c r="A506" t="s">
        <v>776</v>
      </c>
      <c r="B506" s="1">
        <v>45811</v>
      </c>
      <c r="C506" t="s">
        <v>234</v>
      </c>
      <c r="D506" t="s">
        <v>14</v>
      </c>
      <c r="E506" t="s">
        <v>51</v>
      </c>
      <c r="F506" t="s">
        <v>27</v>
      </c>
      <c r="G506" t="s">
        <v>22</v>
      </c>
      <c r="H506">
        <v>5</v>
      </c>
      <c r="I506" s="12">
        <v>914.06</v>
      </c>
      <c r="J506" s="12">
        <v>0</v>
      </c>
      <c r="K506" s="9">
        <v>4570.29</v>
      </c>
      <c r="L506" s="9">
        <v>1265.28</v>
      </c>
      <c r="M506" s="9">
        <f t="shared" si="7"/>
        <v>0</v>
      </c>
    </row>
    <row r="507" spans="1:13" x14ac:dyDescent="0.3">
      <c r="A507" t="s">
        <v>777</v>
      </c>
      <c r="B507" s="1">
        <v>45811</v>
      </c>
      <c r="C507" t="s">
        <v>778</v>
      </c>
      <c r="D507" t="s">
        <v>14</v>
      </c>
      <c r="E507" t="s">
        <v>31</v>
      </c>
      <c r="F507" t="s">
        <v>21</v>
      </c>
      <c r="G507" t="s">
        <v>17</v>
      </c>
      <c r="H507">
        <v>1</v>
      </c>
      <c r="I507" s="12">
        <v>41.51</v>
      </c>
      <c r="J507" s="12">
        <v>0.05</v>
      </c>
      <c r="K507" s="9">
        <v>39.44</v>
      </c>
      <c r="L507" s="9">
        <v>5.37</v>
      </c>
      <c r="M507" s="9">
        <f t="shared" si="7"/>
        <v>2.0754999999999999</v>
      </c>
    </row>
    <row r="508" spans="1:13" x14ac:dyDescent="0.3">
      <c r="A508" t="s">
        <v>779</v>
      </c>
      <c r="B508" s="1">
        <v>45811</v>
      </c>
      <c r="C508" t="s">
        <v>780</v>
      </c>
      <c r="D508" t="s">
        <v>14</v>
      </c>
      <c r="E508" t="s">
        <v>56</v>
      </c>
      <c r="F508" t="s">
        <v>21</v>
      </c>
      <c r="G508" t="s">
        <v>22</v>
      </c>
      <c r="H508">
        <v>1</v>
      </c>
      <c r="I508" s="12">
        <v>322.75</v>
      </c>
      <c r="J508" s="12">
        <v>0.1</v>
      </c>
      <c r="K508" s="9">
        <v>290.47000000000003</v>
      </c>
      <c r="L508" s="9">
        <v>26.99</v>
      </c>
      <c r="M508" s="9">
        <f t="shared" si="7"/>
        <v>32.274999999999999</v>
      </c>
    </row>
    <row r="509" spans="1:13" x14ac:dyDescent="0.3">
      <c r="A509" t="s">
        <v>781</v>
      </c>
      <c r="B509" s="1">
        <v>45811</v>
      </c>
      <c r="C509" t="s">
        <v>290</v>
      </c>
      <c r="D509" t="s">
        <v>14</v>
      </c>
      <c r="E509" t="s">
        <v>37</v>
      </c>
      <c r="F509" t="s">
        <v>27</v>
      </c>
      <c r="G509" t="s">
        <v>17</v>
      </c>
      <c r="H509">
        <v>2</v>
      </c>
      <c r="I509" s="12">
        <v>216.83</v>
      </c>
      <c r="J509" s="12">
        <v>0.1</v>
      </c>
      <c r="K509" s="9">
        <v>390.29</v>
      </c>
      <c r="L509" s="9">
        <v>83.23</v>
      </c>
      <c r="M509" s="9">
        <f t="shared" si="7"/>
        <v>43.366000000000007</v>
      </c>
    </row>
    <row r="510" spans="1:13" x14ac:dyDescent="0.3">
      <c r="A510" t="s">
        <v>782</v>
      </c>
      <c r="B510" s="1">
        <v>45812</v>
      </c>
      <c r="C510" t="s">
        <v>285</v>
      </c>
      <c r="D510" t="s">
        <v>25</v>
      </c>
      <c r="E510" t="s">
        <v>51</v>
      </c>
      <c r="F510" t="s">
        <v>27</v>
      </c>
      <c r="G510" t="s">
        <v>28</v>
      </c>
      <c r="H510">
        <v>2</v>
      </c>
      <c r="I510" s="12">
        <v>915.06</v>
      </c>
      <c r="J510" s="12">
        <v>0</v>
      </c>
      <c r="K510" s="9">
        <v>1830.12</v>
      </c>
      <c r="L510" s="9">
        <v>301.77999999999997</v>
      </c>
      <c r="M510" s="9">
        <f t="shared" si="7"/>
        <v>0</v>
      </c>
    </row>
    <row r="511" spans="1:13" x14ac:dyDescent="0.3">
      <c r="A511" t="s">
        <v>783</v>
      </c>
      <c r="B511" s="1">
        <v>45812</v>
      </c>
      <c r="C511" t="s">
        <v>784</v>
      </c>
      <c r="D511" t="s">
        <v>25</v>
      </c>
      <c r="E511" t="s">
        <v>41</v>
      </c>
      <c r="F511" t="s">
        <v>42</v>
      </c>
      <c r="G511" t="s">
        <v>17</v>
      </c>
      <c r="H511">
        <v>2</v>
      </c>
      <c r="I511" s="12">
        <v>50.88</v>
      </c>
      <c r="J511" s="12">
        <v>0.1</v>
      </c>
      <c r="K511" s="9">
        <v>91.58</v>
      </c>
      <c r="L511" s="9">
        <v>19.78</v>
      </c>
      <c r="M511" s="9">
        <f t="shared" si="7"/>
        <v>10.176000000000002</v>
      </c>
    </row>
    <row r="512" spans="1:13" x14ac:dyDescent="0.3">
      <c r="A512" t="s">
        <v>785</v>
      </c>
      <c r="B512" s="1">
        <v>45812</v>
      </c>
      <c r="C512" t="s">
        <v>144</v>
      </c>
      <c r="D512" t="s">
        <v>14</v>
      </c>
      <c r="E512" t="s">
        <v>56</v>
      </c>
      <c r="F512" t="s">
        <v>21</v>
      </c>
      <c r="G512" t="s">
        <v>22</v>
      </c>
      <c r="H512">
        <v>1</v>
      </c>
      <c r="I512" s="12">
        <v>297.64999999999998</v>
      </c>
      <c r="J512" s="12">
        <v>0.1</v>
      </c>
      <c r="K512" s="9">
        <v>267.88</v>
      </c>
      <c r="L512" s="9">
        <v>38.01</v>
      </c>
      <c r="M512" s="9">
        <f t="shared" si="7"/>
        <v>29.765000000000001</v>
      </c>
    </row>
    <row r="513" spans="1:13" x14ac:dyDescent="0.3">
      <c r="A513" t="s">
        <v>786</v>
      </c>
      <c r="B513" s="1">
        <v>45812</v>
      </c>
      <c r="C513" t="s">
        <v>787</v>
      </c>
      <c r="D513" t="s">
        <v>40</v>
      </c>
      <c r="E513" t="s">
        <v>65</v>
      </c>
      <c r="F513" t="s">
        <v>16</v>
      </c>
      <c r="G513" t="s">
        <v>28</v>
      </c>
      <c r="H513">
        <v>3</v>
      </c>
      <c r="I513" s="12">
        <v>17.489999999999998</v>
      </c>
      <c r="J513" s="12">
        <v>0.1</v>
      </c>
      <c r="K513" s="9">
        <v>47.23</v>
      </c>
      <c r="L513" s="9">
        <v>5.27</v>
      </c>
      <c r="M513" s="9">
        <f t="shared" si="7"/>
        <v>5.2469999999999999</v>
      </c>
    </row>
    <row r="514" spans="1:13" x14ac:dyDescent="0.3">
      <c r="A514" t="s">
        <v>788</v>
      </c>
      <c r="B514" s="1">
        <v>45812</v>
      </c>
      <c r="C514" t="s">
        <v>36</v>
      </c>
      <c r="D514" t="s">
        <v>14</v>
      </c>
      <c r="E514" t="s">
        <v>51</v>
      </c>
      <c r="F514" t="s">
        <v>27</v>
      </c>
      <c r="G514" t="s">
        <v>22</v>
      </c>
      <c r="H514">
        <v>1</v>
      </c>
      <c r="I514" s="12">
        <v>1010.55</v>
      </c>
      <c r="J514" s="12">
        <v>0</v>
      </c>
      <c r="K514" s="9">
        <v>1010.55</v>
      </c>
      <c r="L514" s="9">
        <v>106.8</v>
      </c>
      <c r="M514" s="9">
        <f t="shared" si="7"/>
        <v>0</v>
      </c>
    </row>
    <row r="515" spans="1:13" x14ac:dyDescent="0.3">
      <c r="A515" t="s">
        <v>789</v>
      </c>
      <c r="B515" s="1">
        <v>45812</v>
      </c>
      <c r="C515" t="s">
        <v>718</v>
      </c>
      <c r="D515" t="s">
        <v>25</v>
      </c>
      <c r="E515" t="s">
        <v>15</v>
      </c>
      <c r="F515" t="s">
        <v>16</v>
      </c>
      <c r="G515" t="s">
        <v>17</v>
      </c>
      <c r="H515">
        <v>3</v>
      </c>
      <c r="I515" s="12">
        <v>13.17</v>
      </c>
      <c r="J515" s="12">
        <v>0.15</v>
      </c>
      <c r="K515" s="9">
        <v>33.58</v>
      </c>
      <c r="L515" s="9">
        <v>7.75</v>
      </c>
      <c r="M515" s="9">
        <f t="shared" ref="M515:M578" si="8">H515*I515*J515</f>
        <v>5.9264999999999999</v>
      </c>
    </row>
    <row r="516" spans="1:13" x14ac:dyDescent="0.3">
      <c r="A516" t="s">
        <v>790</v>
      </c>
      <c r="B516" s="1">
        <v>45812</v>
      </c>
      <c r="C516" t="s">
        <v>537</v>
      </c>
      <c r="D516" t="s">
        <v>40</v>
      </c>
      <c r="E516" t="s">
        <v>92</v>
      </c>
      <c r="F516" t="s">
        <v>16</v>
      </c>
      <c r="G516" t="s">
        <v>32</v>
      </c>
      <c r="H516">
        <v>1</v>
      </c>
      <c r="I516" s="12">
        <v>8.83</v>
      </c>
      <c r="J516" s="12">
        <v>0</v>
      </c>
      <c r="K516" s="9">
        <v>8.83</v>
      </c>
      <c r="L516" s="9">
        <v>2.36</v>
      </c>
      <c r="M516" s="9">
        <f t="shared" si="8"/>
        <v>0</v>
      </c>
    </row>
    <row r="517" spans="1:13" x14ac:dyDescent="0.3">
      <c r="A517" t="s">
        <v>791</v>
      </c>
      <c r="B517" s="1">
        <v>45815</v>
      </c>
      <c r="C517" t="s">
        <v>205</v>
      </c>
      <c r="D517" t="s">
        <v>14</v>
      </c>
      <c r="E517" t="s">
        <v>15</v>
      </c>
      <c r="F517" t="s">
        <v>16</v>
      </c>
      <c r="G517" t="s">
        <v>28</v>
      </c>
      <c r="H517">
        <v>1</v>
      </c>
      <c r="I517" s="12">
        <v>14.03</v>
      </c>
      <c r="J517" s="12">
        <v>0.05</v>
      </c>
      <c r="K517" s="9">
        <v>13.33</v>
      </c>
      <c r="L517" s="9">
        <v>2.87</v>
      </c>
      <c r="M517" s="9">
        <f t="shared" si="8"/>
        <v>0.70150000000000001</v>
      </c>
    </row>
    <row r="518" spans="1:13" x14ac:dyDescent="0.3">
      <c r="A518" t="s">
        <v>792</v>
      </c>
      <c r="B518" s="1">
        <v>45815</v>
      </c>
      <c r="C518" t="s">
        <v>126</v>
      </c>
      <c r="D518" t="s">
        <v>14</v>
      </c>
      <c r="E518" t="s">
        <v>54</v>
      </c>
      <c r="F518" t="s">
        <v>27</v>
      </c>
      <c r="G518" t="s">
        <v>17</v>
      </c>
      <c r="H518">
        <v>1</v>
      </c>
      <c r="I518" s="12">
        <v>30.73</v>
      </c>
      <c r="J518" s="12">
        <v>0</v>
      </c>
      <c r="K518" s="9">
        <v>30.73</v>
      </c>
      <c r="L518" s="9">
        <v>5.09</v>
      </c>
      <c r="M518" s="9">
        <f t="shared" si="8"/>
        <v>0</v>
      </c>
    </row>
    <row r="519" spans="1:13" x14ac:dyDescent="0.3">
      <c r="A519" t="s">
        <v>793</v>
      </c>
      <c r="B519" s="1">
        <v>45815</v>
      </c>
      <c r="C519" t="s">
        <v>597</v>
      </c>
      <c r="D519" t="s">
        <v>25</v>
      </c>
      <c r="E519" t="s">
        <v>41</v>
      </c>
      <c r="F519" t="s">
        <v>42</v>
      </c>
      <c r="G519" t="s">
        <v>22</v>
      </c>
      <c r="H519">
        <v>1</v>
      </c>
      <c r="I519" s="12">
        <v>50.2</v>
      </c>
      <c r="J519" s="12">
        <v>0.2</v>
      </c>
      <c r="K519" s="9">
        <v>40.159999999999997</v>
      </c>
      <c r="L519" s="9">
        <v>6.78</v>
      </c>
      <c r="M519" s="9">
        <f t="shared" si="8"/>
        <v>10.040000000000001</v>
      </c>
    </row>
    <row r="520" spans="1:13" x14ac:dyDescent="0.3">
      <c r="A520" t="s">
        <v>794</v>
      </c>
      <c r="B520" s="1">
        <v>45815</v>
      </c>
      <c r="C520" t="s">
        <v>219</v>
      </c>
      <c r="D520" t="s">
        <v>40</v>
      </c>
      <c r="E520" t="s">
        <v>37</v>
      </c>
      <c r="F520" t="s">
        <v>27</v>
      </c>
      <c r="G520" t="s">
        <v>17</v>
      </c>
      <c r="H520">
        <v>3</v>
      </c>
      <c r="I520" s="12">
        <v>221.67</v>
      </c>
      <c r="J520" s="12">
        <v>0.05</v>
      </c>
      <c r="K520" s="9">
        <v>631.77</v>
      </c>
      <c r="L520" s="9">
        <v>149.36000000000001</v>
      </c>
      <c r="M520" s="9">
        <f t="shared" si="8"/>
        <v>33.250500000000002</v>
      </c>
    </row>
    <row r="521" spans="1:13" x14ac:dyDescent="0.3">
      <c r="A521" t="s">
        <v>795</v>
      </c>
      <c r="B521" s="1">
        <v>45815</v>
      </c>
      <c r="C521" t="s">
        <v>205</v>
      </c>
      <c r="D521" t="s">
        <v>14</v>
      </c>
      <c r="E521" t="s">
        <v>92</v>
      </c>
      <c r="F521" t="s">
        <v>16</v>
      </c>
      <c r="G521" t="s">
        <v>17</v>
      </c>
      <c r="H521">
        <v>5</v>
      </c>
      <c r="I521" s="12">
        <v>9.4</v>
      </c>
      <c r="J521" s="12">
        <v>0.15</v>
      </c>
      <c r="K521" s="9">
        <v>39.950000000000003</v>
      </c>
      <c r="L521" s="9">
        <v>2.82</v>
      </c>
      <c r="M521" s="9">
        <f t="shared" si="8"/>
        <v>7.05</v>
      </c>
    </row>
    <row r="522" spans="1:13" x14ac:dyDescent="0.3">
      <c r="A522" t="s">
        <v>796</v>
      </c>
      <c r="B522" s="1">
        <v>45815</v>
      </c>
      <c r="C522" t="s">
        <v>116</v>
      </c>
      <c r="D522" t="s">
        <v>14</v>
      </c>
      <c r="E522" t="s">
        <v>54</v>
      </c>
      <c r="F522" t="s">
        <v>27</v>
      </c>
      <c r="G522" t="s">
        <v>22</v>
      </c>
      <c r="H522">
        <v>1</v>
      </c>
      <c r="I522" s="12">
        <v>26.03</v>
      </c>
      <c r="J522" s="12">
        <v>0.1</v>
      </c>
      <c r="K522" s="9">
        <v>23.43</v>
      </c>
      <c r="L522" s="9">
        <v>4.5199999999999996</v>
      </c>
      <c r="M522" s="9">
        <f t="shared" si="8"/>
        <v>2.6030000000000002</v>
      </c>
    </row>
    <row r="523" spans="1:13" x14ac:dyDescent="0.3">
      <c r="A523" t="s">
        <v>797</v>
      </c>
      <c r="B523" s="1">
        <v>45816</v>
      </c>
      <c r="C523" t="s">
        <v>798</v>
      </c>
      <c r="D523" t="s">
        <v>14</v>
      </c>
      <c r="E523" t="s">
        <v>41</v>
      </c>
      <c r="F523" t="s">
        <v>42</v>
      </c>
      <c r="G523" t="s">
        <v>32</v>
      </c>
      <c r="H523">
        <v>2</v>
      </c>
      <c r="I523" s="12">
        <v>53.92</v>
      </c>
      <c r="J523" s="12">
        <v>0.15</v>
      </c>
      <c r="K523" s="9">
        <v>91.66</v>
      </c>
      <c r="L523" s="9">
        <v>16.61</v>
      </c>
      <c r="M523" s="9">
        <f t="shared" si="8"/>
        <v>16.175999999999998</v>
      </c>
    </row>
    <row r="524" spans="1:13" x14ac:dyDescent="0.3">
      <c r="A524" t="s">
        <v>799</v>
      </c>
      <c r="B524" s="1">
        <v>45817</v>
      </c>
      <c r="C524" t="s">
        <v>679</v>
      </c>
      <c r="D524" t="s">
        <v>40</v>
      </c>
      <c r="E524" t="s">
        <v>51</v>
      </c>
      <c r="F524" t="s">
        <v>27</v>
      </c>
      <c r="G524" t="s">
        <v>32</v>
      </c>
      <c r="H524">
        <v>1</v>
      </c>
      <c r="I524" s="12">
        <v>949.47</v>
      </c>
      <c r="J524" s="12">
        <v>0</v>
      </c>
      <c r="K524" s="9">
        <v>949.47</v>
      </c>
      <c r="L524" s="9">
        <v>155.69999999999999</v>
      </c>
      <c r="M524" s="9">
        <f t="shared" si="8"/>
        <v>0</v>
      </c>
    </row>
    <row r="525" spans="1:13" x14ac:dyDescent="0.3">
      <c r="A525" t="s">
        <v>800</v>
      </c>
      <c r="B525" s="1">
        <v>45818</v>
      </c>
      <c r="C525" t="s">
        <v>801</v>
      </c>
      <c r="D525" t="s">
        <v>14</v>
      </c>
      <c r="E525" t="s">
        <v>37</v>
      </c>
      <c r="F525" t="s">
        <v>27</v>
      </c>
      <c r="G525" t="s">
        <v>32</v>
      </c>
      <c r="H525">
        <v>3</v>
      </c>
      <c r="I525" s="12">
        <v>224.67</v>
      </c>
      <c r="J525" s="12">
        <v>0.1</v>
      </c>
      <c r="K525" s="9">
        <v>606.6</v>
      </c>
      <c r="L525" s="9">
        <v>114.04</v>
      </c>
      <c r="M525" s="9">
        <f t="shared" si="8"/>
        <v>67.400999999999996</v>
      </c>
    </row>
    <row r="526" spans="1:13" x14ac:dyDescent="0.3">
      <c r="A526" t="s">
        <v>802</v>
      </c>
      <c r="B526" s="1">
        <v>45818</v>
      </c>
      <c r="C526" t="s">
        <v>416</v>
      </c>
      <c r="D526" t="s">
        <v>14</v>
      </c>
      <c r="E526" t="s">
        <v>31</v>
      </c>
      <c r="F526" t="s">
        <v>21</v>
      </c>
      <c r="G526" t="s">
        <v>22</v>
      </c>
      <c r="H526">
        <v>5</v>
      </c>
      <c r="I526" s="12">
        <v>39</v>
      </c>
      <c r="J526" s="12">
        <v>0</v>
      </c>
      <c r="K526" s="9">
        <v>195.01</v>
      </c>
      <c r="L526" s="9">
        <v>16.149999999999999</v>
      </c>
      <c r="M526" s="9">
        <f t="shared" si="8"/>
        <v>0</v>
      </c>
    </row>
    <row r="527" spans="1:13" x14ac:dyDescent="0.3">
      <c r="A527" t="s">
        <v>803</v>
      </c>
      <c r="B527" s="1">
        <v>45818</v>
      </c>
      <c r="C527" t="s">
        <v>389</v>
      </c>
      <c r="D527" t="s">
        <v>14</v>
      </c>
      <c r="E527" t="s">
        <v>15</v>
      </c>
      <c r="F527" t="s">
        <v>16</v>
      </c>
      <c r="G527" t="s">
        <v>28</v>
      </c>
      <c r="H527">
        <v>3</v>
      </c>
      <c r="I527" s="12">
        <v>13.36</v>
      </c>
      <c r="J527" s="12">
        <v>0.15</v>
      </c>
      <c r="K527" s="9">
        <v>34.06</v>
      </c>
      <c r="L527" s="9">
        <v>4.05</v>
      </c>
      <c r="M527" s="9">
        <f t="shared" si="8"/>
        <v>6.0119999999999996</v>
      </c>
    </row>
    <row r="528" spans="1:13" x14ac:dyDescent="0.3">
      <c r="A528" t="s">
        <v>804</v>
      </c>
      <c r="B528" s="1">
        <v>45819</v>
      </c>
      <c r="C528" t="s">
        <v>659</v>
      </c>
      <c r="D528" t="s">
        <v>14</v>
      </c>
      <c r="E528" t="s">
        <v>92</v>
      </c>
      <c r="F528" t="s">
        <v>16</v>
      </c>
      <c r="G528" t="s">
        <v>32</v>
      </c>
      <c r="H528">
        <v>1</v>
      </c>
      <c r="I528" s="12">
        <v>8.58</v>
      </c>
      <c r="J528" s="12">
        <v>0</v>
      </c>
      <c r="K528" s="9">
        <v>8.58</v>
      </c>
      <c r="L528" s="9">
        <v>1.26</v>
      </c>
      <c r="M528" s="9">
        <f t="shared" si="8"/>
        <v>0</v>
      </c>
    </row>
    <row r="529" spans="1:13" x14ac:dyDescent="0.3">
      <c r="A529" t="s">
        <v>805</v>
      </c>
      <c r="B529" s="1">
        <v>45819</v>
      </c>
      <c r="C529" t="s">
        <v>508</v>
      </c>
      <c r="D529" t="s">
        <v>14</v>
      </c>
      <c r="E529" t="s">
        <v>92</v>
      </c>
      <c r="F529" t="s">
        <v>16</v>
      </c>
      <c r="G529" t="s">
        <v>17</v>
      </c>
      <c r="H529">
        <v>1</v>
      </c>
      <c r="I529" s="12">
        <v>8.61</v>
      </c>
      <c r="J529" s="12">
        <v>0</v>
      </c>
      <c r="K529" s="9">
        <v>8.61</v>
      </c>
      <c r="L529" s="9">
        <v>2.0499999999999998</v>
      </c>
      <c r="M529" s="9">
        <f t="shared" si="8"/>
        <v>0</v>
      </c>
    </row>
    <row r="530" spans="1:13" x14ac:dyDescent="0.3">
      <c r="A530" t="s">
        <v>806</v>
      </c>
      <c r="B530" s="1">
        <v>45819</v>
      </c>
      <c r="C530" t="s">
        <v>359</v>
      </c>
      <c r="D530" t="s">
        <v>40</v>
      </c>
      <c r="E530" t="s">
        <v>92</v>
      </c>
      <c r="F530" t="s">
        <v>16</v>
      </c>
      <c r="G530" t="s">
        <v>17</v>
      </c>
      <c r="H530">
        <v>2</v>
      </c>
      <c r="I530" s="12">
        <v>9.81</v>
      </c>
      <c r="J530" s="12">
        <v>0.05</v>
      </c>
      <c r="K530" s="9">
        <v>18.64</v>
      </c>
      <c r="L530" s="9">
        <v>3.69</v>
      </c>
      <c r="M530" s="9">
        <f t="shared" si="8"/>
        <v>0.98100000000000009</v>
      </c>
    </row>
    <row r="531" spans="1:13" x14ac:dyDescent="0.3">
      <c r="A531" t="s">
        <v>807</v>
      </c>
      <c r="B531" s="1">
        <v>45819</v>
      </c>
      <c r="C531" t="s">
        <v>808</v>
      </c>
      <c r="D531" t="s">
        <v>40</v>
      </c>
      <c r="E531" t="s">
        <v>65</v>
      </c>
      <c r="F531" t="s">
        <v>16</v>
      </c>
      <c r="G531" t="s">
        <v>28</v>
      </c>
      <c r="H531">
        <v>4</v>
      </c>
      <c r="I531" s="12">
        <v>16.91</v>
      </c>
      <c r="J531" s="12">
        <v>0</v>
      </c>
      <c r="K531" s="9">
        <v>67.62</v>
      </c>
      <c r="L531" s="9">
        <v>6.02</v>
      </c>
      <c r="M531" s="9">
        <f t="shared" si="8"/>
        <v>0</v>
      </c>
    </row>
    <row r="532" spans="1:13" x14ac:dyDescent="0.3">
      <c r="A532" t="s">
        <v>809</v>
      </c>
      <c r="B532" s="1">
        <v>45820</v>
      </c>
      <c r="C532" t="s">
        <v>679</v>
      </c>
      <c r="D532" t="s">
        <v>14</v>
      </c>
      <c r="E532" t="s">
        <v>31</v>
      </c>
      <c r="F532" t="s">
        <v>21</v>
      </c>
      <c r="G532" t="s">
        <v>28</v>
      </c>
      <c r="H532">
        <v>1</v>
      </c>
      <c r="I532" s="12">
        <v>41.58</v>
      </c>
      <c r="J532" s="12">
        <v>0.1</v>
      </c>
      <c r="K532" s="9">
        <v>37.42</v>
      </c>
      <c r="L532" s="9">
        <v>8.2100000000000009</v>
      </c>
      <c r="M532" s="9">
        <f t="shared" si="8"/>
        <v>4.1580000000000004</v>
      </c>
    </row>
    <row r="533" spans="1:13" x14ac:dyDescent="0.3">
      <c r="A533" t="s">
        <v>810</v>
      </c>
      <c r="B533" s="1">
        <v>45820</v>
      </c>
      <c r="C533" t="s">
        <v>84</v>
      </c>
      <c r="D533" t="s">
        <v>40</v>
      </c>
      <c r="E533" t="s">
        <v>31</v>
      </c>
      <c r="F533" t="s">
        <v>21</v>
      </c>
      <c r="G533" t="s">
        <v>22</v>
      </c>
      <c r="H533">
        <v>3</v>
      </c>
      <c r="I533" s="12">
        <v>45.63</v>
      </c>
      <c r="J533" s="12">
        <v>0.05</v>
      </c>
      <c r="K533" s="9">
        <v>130.06</v>
      </c>
      <c r="L533" s="9">
        <v>25.6</v>
      </c>
      <c r="M533" s="9">
        <f t="shared" si="8"/>
        <v>6.8445000000000009</v>
      </c>
    </row>
    <row r="534" spans="1:13" x14ac:dyDescent="0.3">
      <c r="A534" t="s">
        <v>811</v>
      </c>
      <c r="B534" s="1">
        <v>45820</v>
      </c>
      <c r="C534" t="s">
        <v>50</v>
      </c>
      <c r="D534" t="s">
        <v>14</v>
      </c>
      <c r="E534" t="s">
        <v>26</v>
      </c>
      <c r="F534" t="s">
        <v>27</v>
      </c>
      <c r="G534" t="s">
        <v>22</v>
      </c>
      <c r="H534">
        <v>2</v>
      </c>
      <c r="I534" s="12">
        <v>67.86</v>
      </c>
      <c r="J534" s="12">
        <v>0</v>
      </c>
      <c r="K534" s="9">
        <v>135.72999999999999</v>
      </c>
      <c r="L534" s="9">
        <v>27.83</v>
      </c>
      <c r="M534" s="9">
        <f t="shared" si="8"/>
        <v>0</v>
      </c>
    </row>
    <row r="535" spans="1:13" x14ac:dyDescent="0.3">
      <c r="A535" t="s">
        <v>812</v>
      </c>
      <c r="B535" s="1">
        <v>45820</v>
      </c>
      <c r="C535" t="s">
        <v>72</v>
      </c>
      <c r="D535" t="s">
        <v>40</v>
      </c>
      <c r="E535" t="s">
        <v>92</v>
      </c>
      <c r="F535" t="s">
        <v>16</v>
      </c>
      <c r="G535" t="s">
        <v>17</v>
      </c>
      <c r="H535">
        <v>5</v>
      </c>
      <c r="I535" s="12">
        <v>8.8800000000000008</v>
      </c>
      <c r="J535" s="12">
        <v>0.1</v>
      </c>
      <c r="K535" s="9">
        <v>39.97</v>
      </c>
      <c r="L535" s="9">
        <v>5.8</v>
      </c>
      <c r="M535" s="9">
        <f t="shared" si="8"/>
        <v>4.4400000000000004</v>
      </c>
    </row>
    <row r="536" spans="1:13" x14ac:dyDescent="0.3">
      <c r="A536" t="s">
        <v>813</v>
      </c>
      <c r="B536" s="1">
        <v>45820</v>
      </c>
      <c r="C536" t="s">
        <v>287</v>
      </c>
      <c r="D536" t="s">
        <v>14</v>
      </c>
      <c r="E536" t="s">
        <v>92</v>
      </c>
      <c r="F536" t="s">
        <v>16</v>
      </c>
      <c r="G536" t="s">
        <v>22</v>
      </c>
      <c r="H536">
        <v>4</v>
      </c>
      <c r="I536" s="12">
        <v>9.4</v>
      </c>
      <c r="J536" s="12">
        <v>0</v>
      </c>
      <c r="K536" s="9">
        <v>37.619999999999997</v>
      </c>
      <c r="L536" s="9">
        <v>9.61</v>
      </c>
      <c r="M536" s="9">
        <f t="shared" si="8"/>
        <v>0</v>
      </c>
    </row>
    <row r="537" spans="1:13" x14ac:dyDescent="0.3">
      <c r="A537" t="s">
        <v>814</v>
      </c>
      <c r="B537" s="1">
        <v>45821</v>
      </c>
      <c r="C537" t="s">
        <v>541</v>
      </c>
      <c r="D537" t="s">
        <v>14</v>
      </c>
      <c r="E537" t="s">
        <v>37</v>
      </c>
      <c r="F537" t="s">
        <v>27</v>
      </c>
      <c r="G537" t="s">
        <v>22</v>
      </c>
      <c r="H537">
        <v>1</v>
      </c>
      <c r="I537" s="12">
        <v>222.88</v>
      </c>
      <c r="J537" s="12">
        <v>0.05</v>
      </c>
      <c r="K537" s="9">
        <v>211.74</v>
      </c>
      <c r="L537" s="9">
        <v>16.5</v>
      </c>
      <c r="M537" s="9">
        <f t="shared" si="8"/>
        <v>11.144</v>
      </c>
    </row>
    <row r="538" spans="1:13" x14ac:dyDescent="0.3">
      <c r="A538" t="s">
        <v>815</v>
      </c>
      <c r="B538" s="1">
        <v>45821</v>
      </c>
      <c r="C538" t="s">
        <v>179</v>
      </c>
      <c r="D538" t="s">
        <v>40</v>
      </c>
      <c r="E538" t="s">
        <v>15</v>
      </c>
      <c r="F538" t="s">
        <v>16</v>
      </c>
      <c r="G538" t="s">
        <v>17</v>
      </c>
      <c r="H538">
        <v>3</v>
      </c>
      <c r="I538" s="12">
        <v>14.86</v>
      </c>
      <c r="J538" s="12">
        <v>0.05</v>
      </c>
      <c r="K538" s="9">
        <v>42.34</v>
      </c>
      <c r="L538" s="9">
        <v>8.0299999999999994</v>
      </c>
      <c r="M538" s="9">
        <f t="shared" si="8"/>
        <v>2.2290000000000001</v>
      </c>
    </row>
    <row r="539" spans="1:13" x14ac:dyDescent="0.3">
      <c r="A539" t="s">
        <v>816</v>
      </c>
      <c r="B539" s="1">
        <v>45821</v>
      </c>
      <c r="C539" t="s">
        <v>732</v>
      </c>
      <c r="D539" t="s">
        <v>25</v>
      </c>
      <c r="E539" t="s">
        <v>56</v>
      </c>
      <c r="F539" t="s">
        <v>21</v>
      </c>
      <c r="G539" t="s">
        <v>32</v>
      </c>
      <c r="H539">
        <v>4</v>
      </c>
      <c r="I539" s="12">
        <v>332.2</v>
      </c>
      <c r="J539" s="12">
        <v>0.1</v>
      </c>
      <c r="K539" s="9">
        <v>1195.93</v>
      </c>
      <c r="L539" s="9">
        <v>283.48</v>
      </c>
      <c r="M539" s="9">
        <f t="shared" si="8"/>
        <v>132.88</v>
      </c>
    </row>
    <row r="540" spans="1:13" x14ac:dyDescent="0.3">
      <c r="A540" t="s">
        <v>817</v>
      </c>
      <c r="B540" s="1">
        <v>45822</v>
      </c>
      <c r="C540" t="s">
        <v>818</v>
      </c>
      <c r="D540" t="s">
        <v>14</v>
      </c>
      <c r="E540" t="s">
        <v>56</v>
      </c>
      <c r="F540" t="s">
        <v>21</v>
      </c>
      <c r="G540" t="s">
        <v>22</v>
      </c>
      <c r="H540">
        <v>1</v>
      </c>
      <c r="I540" s="12">
        <v>307.31</v>
      </c>
      <c r="J540" s="12">
        <v>0.2</v>
      </c>
      <c r="K540" s="9">
        <v>245.85</v>
      </c>
      <c r="L540" s="9">
        <v>53.69</v>
      </c>
      <c r="M540" s="9">
        <f t="shared" si="8"/>
        <v>61.462000000000003</v>
      </c>
    </row>
    <row r="541" spans="1:13" x14ac:dyDescent="0.3">
      <c r="A541" t="s">
        <v>819</v>
      </c>
      <c r="B541" s="1">
        <v>45822</v>
      </c>
      <c r="C541" t="s">
        <v>197</v>
      </c>
      <c r="D541" t="s">
        <v>14</v>
      </c>
      <c r="E541" t="s">
        <v>65</v>
      </c>
      <c r="F541" t="s">
        <v>16</v>
      </c>
      <c r="G541" t="s">
        <v>22</v>
      </c>
      <c r="H541">
        <v>5</v>
      </c>
      <c r="I541" s="12">
        <v>16.93</v>
      </c>
      <c r="J541" s="12">
        <v>0</v>
      </c>
      <c r="K541" s="9">
        <v>84.65</v>
      </c>
      <c r="L541" s="9">
        <v>14.26</v>
      </c>
      <c r="M541" s="9">
        <f t="shared" si="8"/>
        <v>0</v>
      </c>
    </row>
    <row r="542" spans="1:13" x14ac:dyDescent="0.3">
      <c r="A542" t="s">
        <v>820</v>
      </c>
      <c r="B542" s="1">
        <v>45822</v>
      </c>
      <c r="C542" t="s">
        <v>271</v>
      </c>
      <c r="D542" t="s">
        <v>14</v>
      </c>
      <c r="E542" t="s">
        <v>20</v>
      </c>
      <c r="F542" t="s">
        <v>21</v>
      </c>
      <c r="G542" t="s">
        <v>17</v>
      </c>
      <c r="H542">
        <v>1</v>
      </c>
      <c r="I542" s="12">
        <v>182.02</v>
      </c>
      <c r="J542" s="12">
        <v>0</v>
      </c>
      <c r="K542" s="9">
        <v>182.02</v>
      </c>
      <c r="L542" s="9">
        <v>29.54</v>
      </c>
      <c r="M542" s="9">
        <f t="shared" si="8"/>
        <v>0</v>
      </c>
    </row>
    <row r="543" spans="1:13" x14ac:dyDescent="0.3">
      <c r="A543" t="s">
        <v>821</v>
      </c>
      <c r="B543" s="1">
        <v>45822</v>
      </c>
      <c r="C543" t="s">
        <v>822</v>
      </c>
      <c r="D543" t="s">
        <v>14</v>
      </c>
      <c r="E543" t="s">
        <v>65</v>
      </c>
      <c r="F543" t="s">
        <v>16</v>
      </c>
      <c r="G543" t="s">
        <v>22</v>
      </c>
      <c r="H543">
        <v>1</v>
      </c>
      <c r="I543" s="12">
        <v>17.3</v>
      </c>
      <c r="J543" s="12">
        <v>0</v>
      </c>
      <c r="K543" s="9">
        <v>17.3</v>
      </c>
      <c r="L543" s="9">
        <v>1.93</v>
      </c>
      <c r="M543" s="9">
        <f t="shared" si="8"/>
        <v>0</v>
      </c>
    </row>
    <row r="544" spans="1:13" x14ac:dyDescent="0.3">
      <c r="A544" t="s">
        <v>823</v>
      </c>
      <c r="B544" s="1">
        <v>45822</v>
      </c>
      <c r="C544" t="s">
        <v>798</v>
      </c>
      <c r="D544" t="s">
        <v>40</v>
      </c>
      <c r="E544" t="s">
        <v>110</v>
      </c>
      <c r="F544" t="s">
        <v>42</v>
      </c>
      <c r="G544" t="s">
        <v>28</v>
      </c>
      <c r="H544">
        <v>3</v>
      </c>
      <c r="I544" s="12">
        <v>21.59</v>
      </c>
      <c r="J544" s="12">
        <v>0</v>
      </c>
      <c r="K544" s="9">
        <v>64.78</v>
      </c>
      <c r="L544" s="9">
        <v>6.81</v>
      </c>
      <c r="M544" s="9">
        <f t="shared" si="8"/>
        <v>0</v>
      </c>
    </row>
    <row r="545" spans="1:13" x14ac:dyDescent="0.3">
      <c r="A545" t="s">
        <v>824</v>
      </c>
      <c r="B545" s="1">
        <v>45822</v>
      </c>
      <c r="C545" t="s">
        <v>825</v>
      </c>
      <c r="D545" t="s">
        <v>14</v>
      </c>
      <c r="E545" t="s">
        <v>41</v>
      </c>
      <c r="F545" t="s">
        <v>42</v>
      </c>
      <c r="G545" t="s">
        <v>22</v>
      </c>
      <c r="H545">
        <v>1</v>
      </c>
      <c r="I545" s="12">
        <v>60.27</v>
      </c>
      <c r="J545" s="12">
        <v>0.1</v>
      </c>
      <c r="K545" s="9">
        <v>54.24</v>
      </c>
      <c r="L545" s="9">
        <v>10.65</v>
      </c>
      <c r="M545" s="9">
        <f t="shared" si="8"/>
        <v>6.027000000000001</v>
      </c>
    </row>
    <row r="546" spans="1:13" x14ac:dyDescent="0.3">
      <c r="A546" t="s">
        <v>826</v>
      </c>
      <c r="B546" s="1">
        <v>45822</v>
      </c>
      <c r="C546" t="s">
        <v>827</v>
      </c>
      <c r="D546" t="s">
        <v>14</v>
      </c>
      <c r="E546" t="s">
        <v>110</v>
      </c>
      <c r="F546" t="s">
        <v>42</v>
      </c>
      <c r="G546" t="s">
        <v>28</v>
      </c>
      <c r="H546">
        <v>2</v>
      </c>
      <c r="I546" s="12">
        <v>22.35</v>
      </c>
      <c r="J546" s="12">
        <v>0.05</v>
      </c>
      <c r="K546" s="9">
        <v>42.47</v>
      </c>
      <c r="L546" s="9">
        <v>10.25</v>
      </c>
      <c r="M546" s="9">
        <f t="shared" si="8"/>
        <v>2.2350000000000003</v>
      </c>
    </row>
    <row r="547" spans="1:13" x14ac:dyDescent="0.3">
      <c r="A547" t="s">
        <v>828</v>
      </c>
      <c r="B547" s="1">
        <v>45823</v>
      </c>
      <c r="C547" t="s">
        <v>72</v>
      </c>
      <c r="D547" t="s">
        <v>14</v>
      </c>
      <c r="E547" t="s">
        <v>51</v>
      </c>
      <c r="F547" t="s">
        <v>27</v>
      </c>
      <c r="G547" t="s">
        <v>28</v>
      </c>
      <c r="H547">
        <v>2</v>
      </c>
      <c r="I547" s="12">
        <v>1035.4100000000001</v>
      </c>
      <c r="J547" s="12">
        <v>0.15</v>
      </c>
      <c r="K547" s="9">
        <v>1760.2</v>
      </c>
      <c r="L547" s="9">
        <v>116.29</v>
      </c>
      <c r="M547" s="9">
        <f t="shared" si="8"/>
        <v>310.62299999999999</v>
      </c>
    </row>
    <row r="548" spans="1:13" x14ac:dyDescent="0.3">
      <c r="A548" t="s">
        <v>829</v>
      </c>
      <c r="B548" s="1">
        <v>45823</v>
      </c>
      <c r="C548" t="s">
        <v>830</v>
      </c>
      <c r="D548" t="s">
        <v>14</v>
      </c>
      <c r="E548" t="s">
        <v>20</v>
      </c>
      <c r="F548" t="s">
        <v>21</v>
      </c>
      <c r="G548" t="s">
        <v>17</v>
      </c>
      <c r="H548">
        <v>1</v>
      </c>
      <c r="I548" s="12">
        <v>195.07</v>
      </c>
      <c r="J548" s="12">
        <v>0.2</v>
      </c>
      <c r="K548" s="9">
        <v>156.05000000000001</v>
      </c>
      <c r="L548" s="9">
        <v>7.68</v>
      </c>
      <c r="M548" s="9">
        <f t="shared" si="8"/>
        <v>39.014000000000003</v>
      </c>
    </row>
    <row r="549" spans="1:13" x14ac:dyDescent="0.3">
      <c r="A549" t="s">
        <v>831</v>
      </c>
      <c r="B549" s="1">
        <v>45823</v>
      </c>
      <c r="C549" t="s">
        <v>770</v>
      </c>
      <c r="D549" t="s">
        <v>40</v>
      </c>
      <c r="E549" t="s">
        <v>110</v>
      </c>
      <c r="F549" t="s">
        <v>42</v>
      </c>
      <c r="G549" t="s">
        <v>22</v>
      </c>
      <c r="H549">
        <v>1</v>
      </c>
      <c r="I549" s="12">
        <v>24.11</v>
      </c>
      <c r="J549" s="12">
        <v>0</v>
      </c>
      <c r="K549" s="9">
        <v>24.11</v>
      </c>
      <c r="L549" s="9">
        <v>3.83</v>
      </c>
      <c r="M549" s="9">
        <f t="shared" si="8"/>
        <v>0</v>
      </c>
    </row>
    <row r="550" spans="1:13" x14ac:dyDescent="0.3">
      <c r="A550" t="s">
        <v>832</v>
      </c>
      <c r="B550" s="1">
        <v>45823</v>
      </c>
      <c r="C550" t="s">
        <v>172</v>
      </c>
      <c r="D550" t="s">
        <v>25</v>
      </c>
      <c r="E550" t="s">
        <v>110</v>
      </c>
      <c r="F550" t="s">
        <v>42</v>
      </c>
      <c r="G550" t="s">
        <v>32</v>
      </c>
      <c r="H550">
        <v>1</v>
      </c>
      <c r="I550" s="12">
        <v>23.73</v>
      </c>
      <c r="J550" s="12">
        <v>0.1</v>
      </c>
      <c r="K550" s="9">
        <v>21.36</v>
      </c>
      <c r="L550" s="9">
        <v>3.07</v>
      </c>
      <c r="M550" s="9">
        <f t="shared" si="8"/>
        <v>2.3730000000000002</v>
      </c>
    </row>
    <row r="551" spans="1:13" x14ac:dyDescent="0.3">
      <c r="A551" t="s">
        <v>833</v>
      </c>
      <c r="B551" s="1">
        <v>45823</v>
      </c>
      <c r="C551" t="s">
        <v>834</v>
      </c>
      <c r="D551" t="s">
        <v>25</v>
      </c>
      <c r="E551" t="s">
        <v>56</v>
      </c>
      <c r="F551" t="s">
        <v>21</v>
      </c>
      <c r="G551" t="s">
        <v>17</v>
      </c>
      <c r="H551">
        <v>1</v>
      </c>
      <c r="I551" s="12">
        <v>353.53</v>
      </c>
      <c r="J551" s="12">
        <v>0.05</v>
      </c>
      <c r="K551" s="9">
        <v>335.86</v>
      </c>
      <c r="L551" s="9">
        <v>50.45</v>
      </c>
      <c r="M551" s="9">
        <f t="shared" si="8"/>
        <v>17.676500000000001</v>
      </c>
    </row>
    <row r="552" spans="1:13" x14ac:dyDescent="0.3">
      <c r="A552" t="s">
        <v>835</v>
      </c>
      <c r="B552" s="1">
        <v>45824</v>
      </c>
      <c r="C552" t="s">
        <v>547</v>
      </c>
      <c r="D552" t="s">
        <v>14</v>
      </c>
      <c r="E552" t="s">
        <v>41</v>
      </c>
      <c r="F552" t="s">
        <v>42</v>
      </c>
      <c r="G552" t="s">
        <v>22</v>
      </c>
      <c r="H552">
        <v>3</v>
      </c>
      <c r="I552" s="12">
        <v>58.44</v>
      </c>
      <c r="J552" s="12">
        <v>0</v>
      </c>
      <c r="K552" s="9">
        <v>175.33</v>
      </c>
      <c r="L552" s="9">
        <v>34.659999999999997</v>
      </c>
      <c r="M552" s="9">
        <f t="shared" si="8"/>
        <v>0</v>
      </c>
    </row>
    <row r="553" spans="1:13" x14ac:dyDescent="0.3">
      <c r="A553" t="s">
        <v>836</v>
      </c>
      <c r="B553" s="1">
        <v>45825</v>
      </c>
      <c r="C553" t="s">
        <v>221</v>
      </c>
      <c r="D553" t="s">
        <v>14</v>
      </c>
      <c r="E553" t="s">
        <v>56</v>
      </c>
      <c r="F553" t="s">
        <v>21</v>
      </c>
      <c r="G553" t="s">
        <v>32</v>
      </c>
      <c r="H553">
        <v>4</v>
      </c>
      <c r="I553" s="12">
        <v>322.08999999999997</v>
      </c>
      <c r="J553" s="12">
        <v>0</v>
      </c>
      <c r="K553" s="9">
        <v>1288.3699999999999</v>
      </c>
      <c r="L553" s="9">
        <v>327.57</v>
      </c>
      <c r="M553" s="9">
        <f t="shared" si="8"/>
        <v>0</v>
      </c>
    </row>
    <row r="554" spans="1:13" x14ac:dyDescent="0.3">
      <c r="A554" t="s">
        <v>837</v>
      </c>
      <c r="B554" s="1">
        <v>45825</v>
      </c>
      <c r="C554" t="s">
        <v>157</v>
      </c>
      <c r="D554" t="s">
        <v>14</v>
      </c>
      <c r="E554" t="s">
        <v>31</v>
      </c>
      <c r="F554" t="s">
        <v>21</v>
      </c>
      <c r="G554" t="s">
        <v>32</v>
      </c>
      <c r="H554">
        <v>2</v>
      </c>
      <c r="I554" s="12">
        <v>38.24</v>
      </c>
      <c r="J554" s="12">
        <v>0.15</v>
      </c>
      <c r="K554" s="9">
        <v>65</v>
      </c>
      <c r="L554" s="9">
        <v>5.77</v>
      </c>
      <c r="M554" s="9">
        <f t="shared" si="8"/>
        <v>11.472</v>
      </c>
    </row>
    <row r="555" spans="1:13" x14ac:dyDescent="0.3">
      <c r="A555" t="s">
        <v>838</v>
      </c>
      <c r="B555" s="1">
        <v>45826</v>
      </c>
      <c r="C555" t="s">
        <v>591</v>
      </c>
      <c r="D555" t="s">
        <v>25</v>
      </c>
      <c r="E555" t="s">
        <v>65</v>
      </c>
      <c r="F555" t="s">
        <v>16</v>
      </c>
      <c r="G555" t="s">
        <v>22</v>
      </c>
      <c r="H555">
        <v>1</v>
      </c>
      <c r="I555" s="12">
        <v>17.72</v>
      </c>
      <c r="J555" s="12">
        <v>0.05</v>
      </c>
      <c r="K555" s="9">
        <v>16.829999999999998</v>
      </c>
      <c r="L555" s="9">
        <v>2.57</v>
      </c>
      <c r="M555" s="9">
        <f t="shared" si="8"/>
        <v>0.88600000000000001</v>
      </c>
    </row>
    <row r="556" spans="1:13" x14ac:dyDescent="0.3">
      <c r="A556" t="s">
        <v>839</v>
      </c>
      <c r="B556" s="1">
        <v>45826</v>
      </c>
      <c r="C556" t="s">
        <v>187</v>
      </c>
      <c r="D556" t="s">
        <v>40</v>
      </c>
      <c r="E556" t="s">
        <v>20</v>
      </c>
      <c r="F556" t="s">
        <v>21</v>
      </c>
      <c r="G556" t="s">
        <v>28</v>
      </c>
      <c r="H556">
        <v>4</v>
      </c>
      <c r="I556" s="12">
        <v>171.1</v>
      </c>
      <c r="J556" s="12">
        <v>0.1</v>
      </c>
      <c r="K556" s="9">
        <v>615.96</v>
      </c>
      <c r="L556" s="9">
        <v>72.319999999999993</v>
      </c>
      <c r="M556" s="9">
        <f t="shared" si="8"/>
        <v>68.44</v>
      </c>
    </row>
    <row r="557" spans="1:13" x14ac:dyDescent="0.3">
      <c r="A557" t="s">
        <v>840</v>
      </c>
      <c r="B557" s="1">
        <v>45826</v>
      </c>
      <c r="C557" t="s">
        <v>385</v>
      </c>
      <c r="D557" t="s">
        <v>40</v>
      </c>
      <c r="E557" t="s">
        <v>31</v>
      </c>
      <c r="F557" t="s">
        <v>21</v>
      </c>
      <c r="G557" t="s">
        <v>22</v>
      </c>
      <c r="H557">
        <v>1</v>
      </c>
      <c r="I557" s="12">
        <v>41.87</v>
      </c>
      <c r="J557" s="12">
        <v>0.05</v>
      </c>
      <c r="K557" s="9">
        <v>39.78</v>
      </c>
      <c r="L557" s="9">
        <v>3.92</v>
      </c>
      <c r="M557" s="9">
        <f t="shared" si="8"/>
        <v>2.0935000000000001</v>
      </c>
    </row>
    <row r="558" spans="1:13" x14ac:dyDescent="0.3">
      <c r="A558" t="s">
        <v>841</v>
      </c>
      <c r="B558" s="1">
        <v>45827</v>
      </c>
      <c r="C558" t="s">
        <v>103</v>
      </c>
      <c r="D558" t="s">
        <v>40</v>
      </c>
      <c r="E558" t="s">
        <v>37</v>
      </c>
      <c r="F558" t="s">
        <v>27</v>
      </c>
      <c r="G558" t="s">
        <v>22</v>
      </c>
      <c r="H558">
        <v>1</v>
      </c>
      <c r="I558" s="12">
        <v>225.62</v>
      </c>
      <c r="J558" s="12">
        <v>0.15</v>
      </c>
      <c r="K558" s="9">
        <v>191.77</v>
      </c>
      <c r="L558" s="9">
        <v>8.59</v>
      </c>
      <c r="M558" s="9">
        <f t="shared" si="8"/>
        <v>33.842999999999996</v>
      </c>
    </row>
    <row r="559" spans="1:13" x14ac:dyDescent="0.3">
      <c r="A559" t="s">
        <v>842</v>
      </c>
      <c r="B559" s="1">
        <v>45827</v>
      </c>
      <c r="C559" t="s">
        <v>107</v>
      </c>
      <c r="D559" t="s">
        <v>40</v>
      </c>
      <c r="E559" t="s">
        <v>56</v>
      </c>
      <c r="F559" t="s">
        <v>21</v>
      </c>
      <c r="G559" t="s">
        <v>17</v>
      </c>
      <c r="H559">
        <v>1</v>
      </c>
      <c r="I559" s="12">
        <v>314.92</v>
      </c>
      <c r="J559" s="12">
        <v>0.15</v>
      </c>
      <c r="K559" s="9">
        <v>267.68</v>
      </c>
      <c r="L559" s="9">
        <v>64.31</v>
      </c>
      <c r="M559" s="9">
        <f t="shared" si="8"/>
        <v>47.238</v>
      </c>
    </row>
    <row r="560" spans="1:13" x14ac:dyDescent="0.3">
      <c r="A560" t="s">
        <v>843</v>
      </c>
      <c r="B560" s="1">
        <v>45827</v>
      </c>
      <c r="C560" t="s">
        <v>290</v>
      </c>
      <c r="D560" t="s">
        <v>14</v>
      </c>
      <c r="E560" t="s">
        <v>20</v>
      </c>
      <c r="F560" t="s">
        <v>21</v>
      </c>
      <c r="G560" t="s">
        <v>17</v>
      </c>
      <c r="H560">
        <v>2</v>
      </c>
      <c r="I560" s="12">
        <v>195.6</v>
      </c>
      <c r="J560" s="12">
        <v>0</v>
      </c>
      <c r="K560" s="9">
        <v>391.2</v>
      </c>
      <c r="L560" s="9">
        <v>57.39</v>
      </c>
      <c r="M560" s="9">
        <f t="shared" si="8"/>
        <v>0</v>
      </c>
    </row>
    <row r="561" spans="1:13" x14ac:dyDescent="0.3">
      <c r="A561" t="s">
        <v>844</v>
      </c>
      <c r="B561" s="1">
        <v>45828</v>
      </c>
      <c r="C561" t="s">
        <v>328</v>
      </c>
      <c r="D561" t="s">
        <v>25</v>
      </c>
      <c r="E561" t="s">
        <v>92</v>
      </c>
      <c r="F561" t="s">
        <v>16</v>
      </c>
      <c r="G561" t="s">
        <v>17</v>
      </c>
      <c r="H561">
        <v>1</v>
      </c>
      <c r="I561" s="12">
        <v>8.7799999999999994</v>
      </c>
      <c r="J561" s="12">
        <v>0.05</v>
      </c>
      <c r="K561" s="9">
        <v>8.34</v>
      </c>
      <c r="L561" s="9">
        <v>1.1100000000000001</v>
      </c>
      <c r="M561" s="9">
        <f t="shared" si="8"/>
        <v>0.439</v>
      </c>
    </row>
    <row r="562" spans="1:13" x14ac:dyDescent="0.3">
      <c r="A562" t="s">
        <v>845</v>
      </c>
      <c r="B562" s="1">
        <v>45829</v>
      </c>
      <c r="C562" t="s">
        <v>366</v>
      </c>
      <c r="D562" t="s">
        <v>40</v>
      </c>
      <c r="E562" t="s">
        <v>92</v>
      </c>
      <c r="F562" t="s">
        <v>16</v>
      </c>
      <c r="G562" t="s">
        <v>28</v>
      </c>
      <c r="H562">
        <v>2</v>
      </c>
      <c r="I562" s="12">
        <v>8.39</v>
      </c>
      <c r="J562" s="12">
        <v>0.15</v>
      </c>
      <c r="K562" s="9">
        <v>14.27</v>
      </c>
      <c r="L562" s="9">
        <v>3.62</v>
      </c>
      <c r="M562" s="9">
        <f t="shared" si="8"/>
        <v>2.5169999999999999</v>
      </c>
    </row>
    <row r="563" spans="1:13" x14ac:dyDescent="0.3">
      <c r="A563" t="s">
        <v>846</v>
      </c>
      <c r="B563" s="1">
        <v>45830</v>
      </c>
      <c r="C563" t="s">
        <v>13</v>
      </c>
      <c r="D563" t="s">
        <v>14</v>
      </c>
      <c r="E563" t="s">
        <v>54</v>
      </c>
      <c r="F563" t="s">
        <v>27</v>
      </c>
      <c r="G563" t="s">
        <v>32</v>
      </c>
      <c r="H563">
        <v>4</v>
      </c>
      <c r="I563" s="12">
        <v>25.83</v>
      </c>
      <c r="J563" s="12">
        <v>0.1</v>
      </c>
      <c r="K563" s="9">
        <v>93</v>
      </c>
      <c r="L563" s="9">
        <v>21.37</v>
      </c>
      <c r="M563" s="9">
        <f t="shared" si="8"/>
        <v>10.332000000000001</v>
      </c>
    </row>
    <row r="564" spans="1:13" x14ac:dyDescent="0.3">
      <c r="A564" t="s">
        <v>847</v>
      </c>
      <c r="B564" s="1">
        <v>45830</v>
      </c>
      <c r="C564" t="s">
        <v>423</v>
      </c>
      <c r="D564" t="s">
        <v>14</v>
      </c>
      <c r="E564" t="s">
        <v>54</v>
      </c>
      <c r="F564" t="s">
        <v>27</v>
      </c>
      <c r="G564" t="s">
        <v>17</v>
      </c>
      <c r="H564">
        <v>1</v>
      </c>
      <c r="I564" s="12">
        <v>28.84</v>
      </c>
      <c r="J564" s="12">
        <v>0</v>
      </c>
      <c r="K564" s="9">
        <v>28.84</v>
      </c>
      <c r="L564" s="9">
        <v>6.61</v>
      </c>
      <c r="M564" s="9">
        <f t="shared" si="8"/>
        <v>0</v>
      </c>
    </row>
    <row r="565" spans="1:13" x14ac:dyDescent="0.3">
      <c r="A565" t="s">
        <v>848</v>
      </c>
      <c r="B565" s="1">
        <v>45830</v>
      </c>
      <c r="C565" t="s">
        <v>116</v>
      </c>
      <c r="D565" t="s">
        <v>14</v>
      </c>
      <c r="E565" t="s">
        <v>65</v>
      </c>
      <c r="F565" t="s">
        <v>16</v>
      </c>
      <c r="G565" t="s">
        <v>28</v>
      </c>
      <c r="H565">
        <v>5</v>
      </c>
      <c r="I565" s="12">
        <v>17.98</v>
      </c>
      <c r="J565" s="12">
        <v>0.2</v>
      </c>
      <c r="K565" s="9">
        <v>71.92</v>
      </c>
      <c r="L565" s="9">
        <v>9.93</v>
      </c>
      <c r="M565" s="9">
        <f t="shared" si="8"/>
        <v>17.98</v>
      </c>
    </row>
    <row r="566" spans="1:13" x14ac:dyDescent="0.3">
      <c r="A566" t="s">
        <v>849</v>
      </c>
      <c r="B566" s="1">
        <v>45830</v>
      </c>
      <c r="C566" t="s">
        <v>101</v>
      </c>
      <c r="D566" t="s">
        <v>40</v>
      </c>
      <c r="E566" t="s">
        <v>15</v>
      </c>
      <c r="F566" t="s">
        <v>16</v>
      </c>
      <c r="G566" t="s">
        <v>17</v>
      </c>
      <c r="H566">
        <v>3</v>
      </c>
      <c r="I566" s="12">
        <v>13.27</v>
      </c>
      <c r="J566" s="12">
        <v>0</v>
      </c>
      <c r="K566" s="9">
        <v>39.81</v>
      </c>
      <c r="L566" s="9">
        <v>5.42</v>
      </c>
      <c r="M566" s="9">
        <f t="shared" si="8"/>
        <v>0</v>
      </c>
    </row>
    <row r="567" spans="1:13" x14ac:dyDescent="0.3">
      <c r="A567" t="s">
        <v>850</v>
      </c>
      <c r="B567" s="1">
        <v>45830</v>
      </c>
      <c r="C567" t="s">
        <v>851</v>
      </c>
      <c r="D567" t="s">
        <v>14</v>
      </c>
      <c r="E567" t="s">
        <v>110</v>
      </c>
      <c r="F567" t="s">
        <v>42</v>
      </c>
      <c r="G567" t="s">
        <v>32</v>
      </c>
      <c r="H567">
        <v>1</v>
      </c>
      <c r="I567" s="12">
        <v>22.52</v>
      </c>
      <c r="J567" s="12">
        <v>0.05</v>
      </c>
      <c r="K567" s="9">
        <v>21.39</v>
      </c>
      <c r="L567" s="9">
        <v>5.16</v>
      </c>
      <c r="M567" s="9">
        <f t="shared" si="8"/>
        <v>1.1260000000000001</v>
      </c>
    </row>
    <row r="568" spans="1:13" x14ac:dyDescent="0.3">
      <c r="A568" t="s">
        <v>852</v>
      </c>
      <c r="B568" s="1">
        <v>45831</v>
      </c>
      <c r="C568" t="s">
        <v>70</v>
      </c>
      <c r="D568" t="s">
        <v>40</v>
      </c>
      <c r="E568" t="s">
        <v>54</v>
      </c>
      <c r="F568" t="s">
        <v>27</v>
      </c>
      <c r="G568" t="s">
        <v>28</v>
      </c>
      <c r="H568">
        <v>1</v>
      </c>
      <c r="I568" s="12">
        <v>30.36</v>
      </c>
      <c r="J568" s="12">
        <v>0</v>
      </c>
      <c r="K568" s="9">
        <v>30.36</v>
      </c>
      <c r="L568" s="9">
        <v>6.17</v>
      </c>
      <c r="M568" s="9">
        <f t="shared" si="8"/>
        <v>0</v>
      </c>
    </row>
    <row r="569" spans="1:13" x14ac:dyDescent="0.3">
      <c r="A569" t="s">
        <v>853</v>
      </c>
      <c r="B569" s="1">
        <v>45831</v>
      </c>
      <c r="C569" t="s">
        <v>30</v>
      </c>
      <c r="D569" t="s">
        <v>40</v>
      </c>
      <c r="E569" t="s">
        <v>92</v>
      </c>
      <c r="F569" t="s">
        <v>16</v>
      </c>
      <c r="G569" t="s">
        <v>32</v>
      </c>
      <c r="H569">
        <v>1</v>
      </c>
      <c r="I569" s="12">
        <v>8.7100000000000009</v>
      </c>
      <c r="J569" s="12">
        <v>0.1</v>
      </c>
      <c r="K569" s="9">
        <v>7.84</v>
      </c>
      <c r="L569" s="9">
        <v>1.78</v>
      </c>
      <c r="M569" s="9">
        <f t="shared" si="8"/>
        <v>0.87100000000000011</v>
      </c>
    </row>
    <row r="570" spans="1:13" x14ac:dyDescent="0.3">
      <c r="A570" t="s">
        <v>854</v>
      </c>
      <c r="B570" s="1">
        <v>45831</v>
      </c>
      <c r="C570" t="s">
        <v>855</v>
      </c>
      <c r="D570" t="s">
        <v>25</v>
      </c>
      <c r="E570" t="s">
        <v>41</v>
      </c>
      <c r="F570" t="s">
        <v>42</v>
      </c>
      <c r="G570" t="s">
        <v>22</v>
      </c>
      <c r="H570">
        <v>1</v>
      </c>
      <c r="I570" s="12">
        <v>55.59</v>
      </c>
      <c r="J570" s="12">
        <v>0.15</v>
      </c>
      <c r="K570" s="9">
        <v>47.25</v>
      </c>
      <c r="L570" s="9">
        <v>5.09</v>
      </c>
      <c r="M570" s="9">
        <f t="shared" si="8"/>
        <v>8.3384999999999998</v>
      </c>
    </row>
    <row r="571" spans="1:13" x14ac:dyDescent="0.3">
      <c r="A571" t="s">
        <v>856</v>
      </c>
      <c r="B571" s="1">
        <v>45831</v>
      </c>
      <c r="C571" t="s">
        <v>162</v>
      </c>
      <c r="D571" t="s">
        <v>40</v>
      </c>
      <c r="E571" t="s">
        <v>51</v>
      </c>
      <c r="F571" t="s">
        <v>27</v>
      </c>
      <c r="G571" t="s">
        <v>28</v>
      </c>
      <c r="H571">
        <v>1</v>
      </c>
      <c r="I571" s="12">
        <v>960.91</v>
      </c>
      <c r="J571" s="12">
        <v>0.15</v>
      </c>
      <c r="K571" s="9">
        <v>816.77</v>
      </c>
      <c r="L571" s="9">
        <v>173.5</v>
      </c>
      <c r="M571" s="9">
        <f t="shared" si="8"/>
        <v>144.13649999999998</v>
      </c>
    </row>
    <row r="572" spans="1:13" x14ac:dyDescent="0.3">
      <c r="A572" t="s">
        <v>857</v>
      </c>
      <c r="B572" s="1">
        <v>45832</v>
      </c>
      <c r="C572" t="s">
        <v>236</v>
      </c>
      <c r="D572" t="s">
        <v>40</v>
      </c>
      <c r="E572" t="s">
        <v>110</v>
      </c>
      <c r="F572" t="s">
        <v>42</v>
      </c>
      <c r="G572" t="s">
        <v>17</v>
      </c>
      <c r="H572">
        <v>1</v>
      </c>
      <c r="I572" s="12">
        <v>24.04</v>
      </c>
      <c r="J572" s="12">
        <v>0</v>
      </c>
      <c r="K572" s="9">
        <v>24.04</v>
      </c>
      <c r="L572" s="9">
        <v>5.01</v>
      </c>
      <c r="M572" s="9">
        <f t="shared" si="8"/>
        <v>0</v>
      </c>
    </row>
    <row r="573" spans="1:13" x14ac:dyDescent="0.3">
      <c r="A573" t="s">
        <v>858</v>
      </c>
      <c r="B573" s="1">
        <v>45832</v>
      </c>
      <c r="C573" t="s">
        <v>859</v>
      </c>
      <c r="D573" t="s">
        <v>40</v>
      </c>
      <c r="E573" t="s">
        <v>110</v>
      </c>
      <c r="F573" t="s">
        <v>42</v>
      </c>
      <c r="G573" t="s">
        <v>28</v>
      </c>
      <c r="H573">
        <v>2</v>
      </c>
      <c r="I573" s="12">
        <v>23.37</v>
      </c>
      <c r="J573" s="12">
        <v>0</v>
      </c>
      <c r="K573" s="9">
        <v>46.75</v>
      </c>
      <c r="L573" s="9">
        <v>11.84</v>
      </c>
      <c r="M573" s="9">
        <f t="shared" si="8"/>
        <v>0</v>
      </c>
    </row>
    <row r="574" spans="1:13" x14ac:dyDescent="0.3">
      <c r="A574" t="s">
        <v>860</v>
      </c>
      <c r="B574" s="1">
        <v>45833</v>
      </c>
      <c r="C574" t="s">
        <v>861</v>
      </c>
      <c r="D574" t="s">
        <v>14</v>
      </c>
      <c r="E574" t="s">
        <v>37</v>
      </c>
      <c r="F574" t="s">
        <v>27</v>
      </c>
      <c r="G574" t="s">
        <v>28</v>
      </c>
      <c r="H574">
        <v>3</v>
      </c>
      <c r="I574" s="12">
        <v>226.64</v>
      </c>
      <c r="J574" s="12">
        <v>0</v>
      </c>
      <c r="K574" s="9">
        <v>679.93</v>
      </c>
      <c r="L574" s="9">
        <v>109.4</v>
      </c>
      <c r="M574" s="9">
        <f t="shared" si="8"/>
        <v>0</v>
      </c>
    </row>
    <row r="575" spans="1:13" x14ac:dyDescent="0.3">
      <c r="A575" t="s">
        <v>862</v>
      </c>
      <c r="B575" s="1">
        <v>45833</v>
      </c>
      <c r="C575" t="s">
        <v>80</v>
      </c>
      <c r="D575" t="s">
        <v>25</v>
      </c>
      <c r="E575" t="s">
        <v>51</v>
      </c>
      <c r="F575" t="s">
        <v>27</v>
      </c>
      <c r="G575" t="s">
        <v>28</v>
      </c>
      <c r="H575">
        <v>2</v>
      </c>
      <c r="I575" s="12">
        <v>995.1</v>
      </c>
      <c r="J575" s="12">
        <v>0.15</v>
      </c>
      <c r="K575" s="9">
        <v>1691.67</v>
      </c>
      <c r="L575" s="9">
        <v>379.24</v>
      </c>
      <c r="M575" s="9">
        <f t="shared" si="8"/>
        <v>298.52999999999997</v>
      </c>
    </row>
    <row r="576" spans="1:13" x14ac:dyDescent="0.3">
      <c r="A576" t="s">
        <v>863</v>
      </c>
      <c r="B576" s="1">
        <v>45834</v>
      </c>
      <c r="C576" t="s">
        <v>24</v>
      </c>
      <c r="D576" t="s">
        <v>14</v>
      </c>
      <c r="E576" t="s">
        <v>110</v>
      </c>
      <c r="F576" t="s">
        <v>42</v>
      </c>
      <c r="G576" t="s">
        <v>22</v>
      </c>
      <c r="H576">
        <v>3</v>
      </c>
      <c r="I576" s="12">
        <v>24.03</v>
      </c>
      <c r="J576" s="12">
        <v>0</v>
      </c>
      <c r="K576" s="9">
        <v>72.09</v>
      </c>
      <c r="L576" s="9">
        <v>7.91</v>
      </c>
      <c r="M576" s="9">
        <f t="shared" si="8"/>
        <v>0</v>
      </c>
    </row>
    <row r="577" spans="1:13" x14ac:dyDescent="0.3">
      <c r="A577" t="s">
        <v>864</v>
      </c>
      <c r="B577" s="1">
        <v>45834</v>
      </c>
      <c r="C577" t="s">
        <v>48</v>
      </c>
      <c r="D577" t="s">
        <v>14</v>
      </c>
      <c r="E577" t="s">
        <v>51</v>
      </c>
      <c r="F577" t="s">
        <v>27</v>
      </c>
      <c r="G577" t="s">
        <v>22</v>
      </c>
      <c r="H577">
        <v>2</v>
      </c>
      <c r="I577" s="12">
        <v>1038.54</v>
      </c>
      <c r="J577" s="12">
        <v>0</v>
      </c>
      <c r="K577" s="9">
        <v>2077.09</v>
      </c>
      <c r="L577" s="9">
        <v>220.44</v>
      </c>
      <c r="M577" s="9">
        <f t="shared" si="8"/>
        <v>0</v>
      </c>
    </row>
    <row r="578" spans="1:13" x14ac:dyDescent="0.3">
      <c r="A578" t="s">
        <v>865</v>
      </c>
      <c r="B578" s="1">
        <v>45835</v>
      </c>
      <c r="C578" t="s">
        <v>287</v>
      </c>
      <c r="D578" t="s">
        <v>25</v>
      </c>
      <c r="E578" t="s">
        <v>26</v>
      </c>
      <c r="F578" t="s">
        <v>27</v>
      </c>
      <c r="G578" t="s">
        <v>32</v>
      </c>
      <c r="H578">
        <v>1</v>
      </c>
      <c r="I578" s="12">
        <v>76.900000000000006</v>
      </c>
      <c r="J578" s="12">
        <v>0.05</v>
      </c>
      <c r="K578" s="9">
        <v>73.05</v>
      </c>
      <c r="L578" s="9">
        <v>12.79</v>
      </c>
      <c r="M578" s="9">
        <f t="shared" si="8"/>
        <v>3.8450000000000006</v>
      </c>
    </row>
    <row r="579" spans="1:13" x14ac:dyDescent="0.3">
      <c r="A579" t="s">
        <v>866</v>
      </c>
      <c r="B579" s="1">
        <v>45835</v>
      </c>
      <c r="C579" t="s">
        <v>332</v>
      </c>
      <c r="D579" t="s">
        <v>14</v>
      </c>
      <c r="E579" t="s">
        <v>20</v>
      </c>
      <c r="F579" t="s">
        <v>21</v>
      </c>
      <c r="G579" t="s">
        <v>32</v>
      </c>
      <c r="H579">
        <v>4</v>
      </c>
      <c r="I579" s="12">
        <v>180.84</v>
      </c>
      <c r="J579" s="12">
        <v>0.05</v>
      </c>
      <c r="K579" s="9">
        <v>687.2</v>
      </c>
      <c r="L579" s="9">
        <v>61.16</v>
      </c>
      <c r="M579" s="9">
        <f t="shared" ref="M579:M642" si="9">H579*I579*J579</f>
        <v>36.167999999999999</v>
      </c>
    </row>
    <row r="580" spans="1:13" x14ac:dyDescent="0.3">
      <c r="A580" t="s">
        <v>867</v>
      </c>
      <c r="B580" s="1">
        <v>45835</v>
      </c>
      <c r="C580" t="s">
        <v>217</v>
      </c>
      <c r="D580" t="s">
        <v>14</v>
      </c>
      <c r="E580" t="s">
        <v>92</v>
      </c>
      <c r="F580" t="s">
        <v>16</v>
      </c>
      <c r="G580" t="s">
        <v>28</v>
      </c>
      <c r="H580">
        <v>1</v>
      </c>
      <c r="I580" s="12">
        <v>8.1199999999999992</v>
      </c>
      <c r="J580" s="12">
        <v>0</v>
      </c>
      <c r="K580" s="9">
        <v>8.1199999999999992</v>
      </c>
      <c r="L580" s="9">
        <v>1.04</v>
      </c>
      <c r="M580" s="9">
        <f t="shared" si="9"/>
        <v>0</v>
      </c>
    </row>
    <row r="581" spans="1:13" x14ac:dyDescent="0.3">
      <c r="A581" t="s">
        <v>868</v>
      </c>
      <c r="B581" s="1">
        <v>45836</v>
      </c>
      <c r="C581" t="s">
        <v>175</v>
      </c>
      <c r="D581" t="s">
        <v>14</v>
      </c>
      <c r="E581" t="s">
        <v>37</v>
      </c>
      <c r="F581" t="s">
        <v>27</v>
      </c>
      <c r="G581" t="s">
        <v>17</v>
      </c>
      <c r="H581">
        <v>2</v>
      </c>
      <c r="I581" s="12">
        <v>230.06</v>
      </c>
      <c r="J581" s="12">
        <v>0</v>
      </c>
      <c r="K581" s="9">
        <v>460.13</v>
      </c>
      <c r="L581" s="9">
        <v>46.74</v>
      </c>
      <c r="M581" s="9">
        <f t="shared" si="9"/>
        <v>0</v>
      </c>
    </row>
    <row r="582" spans="1:13" x14ac:dyDescent="0.3">
      <c r="A582" t="s">
        <v>869</v>
      </c>
      <c r="B582" s="1">
        <v>45836</v>
      </c>
      <c r="C582" t="s">
        <v>686</v>
      </c>
      <c r="D582" t="s">
        <v>14</v>
      </c>
      <c r="E582" t="s">
        <v>65</v>
      </c>
      <c r="F582" t="s">
        <v>16</v>
      </c>
      <c r="G582" t="s">
        <v>17</v>
      </c>
      <c r="H582">
        <v>3</v>
      </c>
      <c r="I582" s="12">
        <v>19.309999999999999</v>
      </c>
      <c r="J582" s="12">
        <v>0</v>
      </c>
      <c r="K582" s="9">
        <v>57.94</v>
      </c>
      <c r="L582" s="9">
        <v>15.24</v>
      </c>
      <c r="M582" s="9">
        <f t="shared" si="9"/>
        <v>0</v>
      </c>
    </row>
    <row r="583" spans="1:13" x14ac:dyDescent="0.3">
      <c r="A583" t="s">
        <v>870</v>
      </c>
      <c r="B583" s="1">
        <v>45836</v>
      </c>
      <c r="C583" t="s">
        <v>445</v>
      </c>
      <c r="D583" t="s">
        <v>25</v>
      </c>
      <c r="E583" t="s">
        <v>31</v>
      </c>
      <c r="F583" t="s">
        <v>21</v>
      </c>
      <c r="G583" t="s">
        <v>32</v>
      </c>
      <c r="H583">
        <v>2</v>
      </c>
      <c r="I583" s="12">
        <v>40.22</v>
      </c>
      <c r="J583" s="12">
        <v>0.05</v>
      </c>
      <c r="K583" s="9">
        <v>76.42</v>
      </c>
      <c r="L583" s="9">
        <v>14.74</v>
      </c>
      <c r="M583" s="9">
        <f t="shared" si="9"/>
        <v>4.0220000000000002</v>
      </c>
    </row>
    <row r="584" spans="1:13" x14ac:dyDescent="0.3">
      <c r="A584" t="s">
        <v>871</v>
      </c>
      <c r="B584" s="1">
        <v>45836</v>
      </c>
      <c r="C584" t="s">
        <v>261</v>
      </c>
      <c r="D584" t="s">
        <v>14</v>
      </c>
      <c r="E584" t="s">
        <v>110</v>
      </c>
      <c r="F584" t="s">
        <v>42</v>
      </c>
      <c r="G584" t="s">
        <v>28</v>
      </c>
      <c r="H584">
        <v>5</v>
      </c>
      <c r="I584" s="12">
        <v>20.66</v>
      </c>
      <c r="J584" s="12">
        <v>0.15</v>
      </c>
      <c r="K584" s="9">
        <v>87.81</v>
      </c>
      <c r="L584" s="9">
        <v>6.07</v>
      </c>
      <c r="M584" s="9">
        <f t="shared" si="9"/>
        <v>15.494999999999999</v>
      </c>
    </row>
    <row r="585" spans="1:13" x14ac:dyDescent="0.3">
      <c r="A585" t="s">
        <v>872</v>
      </c>
      <c r="B585" s="1">
        <v>45837</v>
      </c>
      <c r="C585" t="s">
        <v>170</v>
      </c>
      <c r="D585" t="s">
        <v>25</v>
      </c>
      <c r="E585" t="s">
        <v>51</v>
      </c>
      <c r="F585" t="s">
        <v>27</v>
      </c>
      <c r="G585" t="s">
        <v>28</v>
      </c>
      <c r="H585">
        <v>2</v>
      </c>
      <c r="I585" s="12">
        <v>983.39</v>
      </c>
      <c r="J585" s="12">
        <v>0.05</v>
      </c>
      <c r="K585" s="9">
        <v>1868.45</v>
      </c>
      <c r="L585" s="9">
        <v>358.66</v>
      </c>
      <c r="M585" s="9">
        <f t="shared" si="9"/>
        <v>98.338999999999999</v>
      </c>
    </row>
    <row r="586" spans="1:13" x14ac:dyDescent="0.3">
      <c r="A586" t="s">
        <v>873</v>
      </c>
      <c r="B586" s="1">
        <v>45837</v>
      </c>
      <c r="C586" t="s">
        <v>859</v>
      </c>
      <c r="D586" t="s">
        <v>14</v>
      </c>
      <c r="E586" t="s">
        <v>54</v>
      </c>
      <c r="F586" t="s">
        <v>27</v>
      </c>
      <c r="G586" t="s">
        <v>17</v>
      </c>
      <c r="H586">
        <v>3</v>
      </c>
      <c r="I586" s="12">
        <v>28.68</v>
      </c>
      <c r="J586" s="12">
        <v>0.1</v>
      </c>
      <c r="K586" s="9">
        <v>77.430000000000007</v>
      </c>
      <c r="L586" s="9">
        <v>9.51</v>
      </c>
      <c r="M586" s="9">
        <f t="shared" si="9"/>
        <v>8.6039999999999992</v>
      </c>
    </row>
    <row r="587" spans="1:13" x14ac:dyDescent="0.3">
      <c r="A587" t="s">
        <v>874</v>
      </c>
      <c r="B587" s="1">
        <v>45837</v>
      </c>
      <c r="C587" t="s">
        <v>875</v>
      </c>
      <c r="D587" t="s">
        <v>40</v>
      </c>
      <c r="E587" t="s">
        <v>41</v>
      </c>
      <c r="F587" t="s">
        <v>42</v>
      </c>
      <c r="G587" t="s">
        <v>17</v>
      </c>
      <c r="H587">
        <v>2</v>
      </c>
      <c r="I587" s="12">
        <v>54.68</v>
      </c>
      <c r="J587" s="12">
        <v>0.05</v>
      </c>
      <c r="K587" s="9">
        <v>103.88</v>
      </c>
      <c r="L587" s="9">
        <v>7.84</v>
      </c>
      <c r="M587" s="9">
        <f t="shared" si="9"/>
        <v>5.468</v>
      </c>
    </row>
    <row r="588" spans="1:13" x14ac:dyDescent="0.3">
      <c r="A588" t="s">
        <v>876</v>
      </c>
      <c r="B588" s="1">
        <v>45837</v>
      </c>
      <c r="C588" t="s">
        <v>877</v>
      </c>
      <c r="D588" t="s">
        <v>25</v>
      </c>
      <c r="E588" t="s">
        <v>31</v>
      </c>
      <c r="F588" t="s">
        <v>21</v>
      </c>
      <c r="G588" t="s">
        <v>28</v>
      </c>
      <c r="H588">
        <v>1</v>
      </c>
      <c r="I588" s="12">
        <v>41.27</v>
      </c>
      <c r="J588" s="12">
        <v>0.1</v>
      </c>
      <c r="K588" s="9">
        <v>37.14</v>
      </c>
      <c r="L588" s="9">
        <v>8.66</v>
      </c>
      <c r="M588" s="9">
        <f t="shared" si="9"/>
        <v>4.1270000000000007</v>
      </c>
    </row>
    <row r="589" spans="1:13" x14ac:dyDescent="0.3">
      <c r="A589" t="s">
        <v>878</v>
      </c>
      <c r="B589" s="1">
        <v>45838</v>
      </c>
      <c r="C589" t="s">
        <v>44</v>
      </c>
      <c r="D589" t="s">
        <v>14</v>
      </c>
      <c r="E589" t="s">
        <v>15</v>
      </c>
      <c r="F589" t="s">
        <v>16</v>
      </c>
      <c r="G589" t="s">
        <v>17</v>
      </c>
      <c r="H589">
        <v>1</v>
      </c>
      <c r="I589" s="12">
        <v>15.38</v>
      </c>
      <c r="J589" s="12">
        <v>0.05</v>
      </c>
      <c r="K589" s="9">
        <v>14.61</v>
      </c>
      <c r="L589" s="9">
        <v>2.98</v>
      </c>
      <c r="M589" s="9">
        <f t="shared" si="9"/>
        <v>0.76900000000000013</v>
      </c>
    </row>
    <row r="590" spans="1:13" x14ac:dyDescent="0.3">
      <c r="A590" t="s">
        <v>879</v>
      </c>
      <c r="B590" s="1">
        <v>45838</v>
      </c>
      <c r="C590" t="s">
        <v>880</v>
      </c>
      <c r="D590" t="s">
        <v>14</v>
      </c>
      <c r="E590" t="s">
        <v>54</v>
      </c>
      <c r="F590" t="s">
        <v>27</v>
      </c>
      <c r="G590" t="s">
        <v>28</v>
      </c>
      <c r="H590">
        <v>3</v>
      </c>
      <c r="I590" s="12">
        <v>26.87</v>
      </c>
      <c r="J590" s="12">
        <v>0.05</v>
      </c>
      <c r="K590" s="9">
        <v>76.58</v>
      </c>
      <c r="L590" s="9">
        <v>15.04</v>
      </c>
      <c r="M590" s="9">
        <f t="shared" si="9"/>
        <v>4.0305</v>
      </c>
    </row>
    <row r="591" spans="1:13" x14ac:dyDescent="0.3">
      <c r="A591" t="s">
        <v>881</v>
      </c>
      <c r="B591" s="1">
        <v>45838</v>
      </c>
      <c r="C591" t="s">
        <v>649</v>
      </c>
      <c r="D591" t="s">
        <v>14</v>
      </c>
      <c r="E591" t="s">
        <v>41</v>
      </c>
      <c r="F591" t="s">
        <v>42</v>
      </c>
      <c r="G591" t="s">
        <v>32</v>
      </c>
      <c r="H591">
        <v>1</v>
      </c>
      <c r="I591" s="12">
        <v>50.55</v>
      </c>
      <c r="J591" s="12">
        <v>0.05</v>
      </c>
      <c r="K591" s="9">
        <v>48.02</v>
      </c>
      <c r="L591" s="9">
        <v>6.89</v>
      </c>
      <c r="M591" s="9">
        <f t="shared" si="9"/>
        <v>2.5274999999999999</v>
      </c>
    </row>
    <row r="592" spans="1:13" x14ac:dyDescent="0.3">
      <c r="A592" t="s">
        <v>882</v>
      </c>
      <c r="B592" s="1">
        <v>45839</v>
      </c>
      <c r="C592" t="s">
        <v>537</v>
      </c>
      <c r="D592" t="s">
        <v>40</v>
      </c>
      <c r="E592" t="s">
        <v>110</v>
      </c>
      <c r="F592" t="s">
        <v>42</v>
      </c>
      <c r="G592" t="s">
        <v>22</v>
      </c>
      <c r="H592">
        <v>1</v>
      </c>
      <c r="I592" s="12">
        <v>21.93</v>
      </c>
      <c r="J592" s="12">
        <v>0.05</v>
      </c>
      <c r="K592" s="9">
        <v>20.84</v>
      </c>
      <c r="L592" s="9">
        <v>2.5</v>
      </c>
      <c r="M592" s="9">
        <f t="shared" si="9"/>
        <v>1.0965</v>
      </c>
    </row>
    <row r="593" spans="1:13" x14ac:dyDescent="0.3">
      <c r="A593" t="s">
        <v>883</v>
      </c>
      <c r="B593" s="1">
        <v>45839</v>
      </c>
      <c r="C593" t="s">
        <v>711</v>
      </c>
      <c r="D593" t="s">
        <v>14</v>
      </c>
      <c r="E593" t="s">
        <v>26</v>
      </c>
      <c r="F593" t="s">
        <v>27</v>
      </c>
      <c r="G593" t="s">
        <v>22</v>
      </c>
      <c r="H593">
        <v>3</v>
      </c>
      <c r="I593" s="12">
        <v>77.41</v>
      </c>
      <c r="J593" s="12">
        <v>0</v>
      </c>
      <c r="K593" s="9">
        <v>232.22</v>
      </c>
      <c r="L593" s="9">
        <v>56.16</v>
      </c>
      <c r="M593" s="9">
        <f t="shared" si="9"/>
        <v>0</v>
      </c>
    </row>
    <row r="594" spans="1:13" x14ac:dyDescent="0.3">
      <c r="A594" t="s">
        <v>884</v>
      </c>
      <c r="B594" s="1">
        <v>45839</v>
      </c>
      <c r="C594" t="s">
        <v>89</v>
      </c>
      <c r="D594" t="s">
        <v>14</v>
      </c>
      <c r="E594" t="s">
        <v>20</v>
      </c>
      <c r="F594" t="s">
        <v>21</v>
      </c>
      <c r="G594" t="s">
        <v>17</v>
      </c>
      <c r="H594">
        <v>1</v>
      </c>
      <c r="I594" s="12">
        <v>188.49</v>
      </c>
      <c r="J594" s="12">
        <v>0.1</v>
      </c>
      <c r="K594" s="9">
        <v>169.64</v>
      </c>
      <c r="L594" s="9">
        <v>39.49</v>
      </c>
      <c r="M594" s="9">
        <f t="shared" si="9"/>
        <v>18.849</v>
      </c>
    </row>
    <row r="595" spans="1:13" x14ac:dyDescent="0.3">
      <c r="A595" t="s">
        <v>885</v>
      </c>
      <c r="B595" s="1">
        <v>45839</v>
      </c>
      <c r="C595" t="s">
        <v>449</v>
      </c>
      <c r="D595" t="s">
        <v>14</v>
      </c>
      <c r="E595" t="s">
        <v>41</v>
      </c>
      <c r="F595" t="s">
        <v>42</v>
      </c>
      <c r="G595" t="s">
        <v>32</v>
      </c>
      <c r="H595">
        <v>4</v>
      </c>
      <c r="I595" s="12">
        <v>49.65</v>
      </c>
      <c r="J595" s="12">
        <v>0.05</v>
      </c>
      <c r="K595" s="9">
        <v>188.66</v>
      </c>
      <c r="L595" s="9">
        <v>24.28</v>
      </c>
      <c r="M595" s="9">
        <f t="shared" si="9"/>
        <v>9.93</v>
      </c>
    </row>
    <row r="596" spans="1:13" x14ac:dyDescent="0.3">
      <c r="A596" t="s">
        <v>886</v>
      </c>
      <c r="B596" s="1">
        <v>45839</v>
      </c>
      <c r="C596" t="s">
        <v>887</v>
      </c>
      <c r="D596" t="s">
        <v>40</v>
      </c>
      <c r="E596" t="s">
        <v>51</v>
      </c>
      <c r="F596" t="s">
        <v>27</v>
      </c>
      <c r="G596" t="s">
        <v>28</v>
      </c>
      <c r="H596">
        <v>1</v>
      </c>
      <c r="I596" s="12">
        <v>943.48</v>
      </c>
      <c r="J596" s="12">
        <v>0</v>
      </c>
      <c r="K596" s="9">
        <v>943.48</v>
      </c>
      <c r="L596" s="9">
        <v>221.41</v>
      </c>
      <c r="M596" s="9">
        <f t="shared" si="9"/>
        <v>0</v>
      </c>
    </row>
    <row r="597" spans="1:13" x14ac:dyDescent="0.3">
      <c r="A597" t="s">
        <v>888</v>
      </c>
      <c r="B597" s="1">
        <v>45840</v>
      </c>
      <c r="C597" t="s">
        <v>341</v>
      </c>
      <c r="D597" t="s">
        <v>40</v>
      </c>
      <c r="E597" t="s">
        <v>65</v>
      </c>
      <c r="F597" t="s">
        <v>16</v>
      </c>
      <c r="G597" t="s">
        <v>17</v>
      </c>
      <c r="H597">
        <v>2</v>
      </c>
      <c r="I597" s="12">
        <v>18.38</v>
      </c>
      <c r="J597" s="12">
        <v>0.05</v>
      </c>
      <c r="K597" s="9">
        <v>34.92</v>
      </c>
      <c r="L597" s="9">
        <v>8.85</v>
      </c>
      <c r="M597" s="9">
        <f t="shared" si="9"/>
        <v>1.8380000000000001</v>
      </c>
    </row>
    <row r="598" spans="1:13" x14ac:dyDescent="0.3">
      <c r="A598" t="s">
        <v>889</v>
      </c>
      <c r="B598" s="1">
        <v>45840</v>
      </c>
      <c r="C598" t="s">
        <v>457</v>
      </c>
      <c r="D598" t="s">
        <v>40</v>
      </c>
      <c r="E598" t="s">
        <v>110</v>
      </c>
      <c r="F598" t="s">
        <v>42</v>
      </c>
      <c r="G598" t="s">
        <v>32</v>
      </c>
      <c r="H598">
        <v>1</v>
      </c>
      <c r="I598" s="12">
        <v>23.75</v>
      </c>
      <c r="J598" s="12">
        <v>0</v>
      </c>
      <c r="K598" s="9">
        <v>23.75</v>
      </c>
      <c r="L598" s="9">
        <v>4.1500000000000004</v>
      </c>
      <c r="M598" s="9">
        <f t="shared" si="9"/>
        <v>0</v>
      </c>
    </row>
    <row r="599" spans="1:13" x14ac:dyDescent="0.3">
      <c r="A599" t="s">
        <v>890</v>
      </c>
      <c r="B599" s="1">
        <v>45840</v>
      </c>
      <c r="C599" t="s">
        <v>372</v>
      </c>
      <c r="D599" t="s">
        <v>25</v>
      </c>
      <c r="E599" t="s">
        <v>26</v>
      </c>
      <c r="F599" t="s">
        <v>27</v>
      </c>
      <c r="G599" t="s">
        <v>32</v>
      </c>
      <c r="H599">
        <v>2</v>
      </c>
      <c r="I599" s="12">
        <v>70.48</v>
      </c>
      <c r="J599" s="12">
        <v>0.1</v>
      </c>
      <c r="K599" s="9">
        <v>126.87</v>
      </c>
      <c r="L599" s="9">
        <v>13.09</v>
      </c>
      <c r="M599" s="9">
        <f t="shared" si="9"/>
        <v>14.096000000000002</v>
      </c>
    </row>
    <row r="600" spans="1:13" x14ac:dyDescent="0.3">
      <c r="A600" t="s">
        <v>891</v>
      </c>
      <c r="B600" s="1">
        <v>45841</v>
      </c>
      <c r="C600" t="s">
        <v>324</v>
      </c>
      <c r="D600" t="s">
        <v>14</v>
      </c>
      <c r="E600" t="s">
        <v>37</v>
      </c>
      <c r="F600" t="s">
        <v>27</v>
      </c>
      <c r="G600" t="s">
        <v>17</v>
      </c>
      <c r="H600">
        <v>5</v>
      </c>
      <c r="I600" s="12">
        <v>210.54</v>
      </c>
      <c r="J600" s="12">
        <v>0.15</v>
      </c>
      <c r="K600" s="9">
        <v>894.8</v>
      </c>
      <c r="L600" s="9">
        <v>53.02</v>
      </c>
      <c r="M600" s="9">
        <f t="shared" si="9"/>
        <v>157.905</v>
      </c>
    </row>
    <row r="601" spans="1:13" x14ac:dyDescent="0.3">
      <c r="A601" t="s">
        <v>892</v>
      </c>
      <c r="B601" s="1">
        <v>45841</v>
      </c>
      <c r="C601" t="s">
        <v>859</v>
      </c>
      <c r="D601" t="s">
        <v>14</v>
      </c>
      <c r="E601" t="s">
        <v>51</v>
      </c>
      <c r="F601" t="s">
        <v>27</v>
      </c>
      <c r="G601" t="s">
        <v>17</v>
      </c>
      <c r="H601">
        <v>1</v>
      </c>
      <c r="I601" s="12">
        <v>1020.98</v>
      </c>
      <c r="J601" s="12">
        <v>0.2</v>
      </c>
      <c r="K601" s="9">
        <v>816.78</v>
      </c>
      <c r="L601" s="9">
        <v>80.239999999999995</v>
      </c>
      <c r="M601" s="9">
        <f t="shared" si="9"/>
        <v>204.19600000000003</v>
      </c>
    </row>
    <row r="602" spans="1:13" x14ac:dyDescent="0.3">
      <c r="A602" t="s">
        <v>893</v>
      </c>
      <c r="B602" s="1">
        <v>45841</v>
      </c>
      <c r="C602" t="s">
        <v>122</v>
      </c>
      <c r="D602" t="s">
        <v>40</v>
      </c>
      <c r="E602" t="s">
        <v>65</v>
      </c>
      <c r="F602" t="s">
        <v>16</v>
      </c>
      <c r="G602" t="s">
        <v>22</v>
      </c>
      <c r="H602">
        <v>1</v>
      </c>
      <c r="I602" s="12">
        <v>17.97</v>
      </c>
      <c r="J602" s="12">
        <v>0</v>
      </c>
      <c r="K602" s="9">
        <v>17.97</v>
      </c>
      <c r="L602" s="9">
        <v>2.5499999999999998</v>
      </c>
      <c r="M602" s="9">
        <f t="shared" si="9"/>
        <v>0</v>
      </c>
    </row>
    <row r="603" spans="1:13" x14ac:dyDescent="0.3">
      <c r="A603" t="s">
        <v>894</v>
      </c>
      <c r="B603" s="1">
        <v>45841</v>
      </c>
      <c r="C603" t="s">
        <v>103</v>
      </c>
      <c r="D603" t="s">
        <v>25</v>
      </c>
      <c r="E603" t="s">
        <v>110</v>
      </c>
      <c r="F603" t="s">
        <v>42</v>
      </c>
      <c r="G603" t="s">
        <v>32</v>
      </c>
      <c r="H603">
        <v>1</v>
      </c>
      <c r="I603" s="12">
        <v>21.61</v>
      </c>
      <c r="J603" s="12">
        <v>0.05</v>
      </c>
      <c r="K603" s="9">
        <v>20.53</v>
      </c>
      <c r="L603" s="9">
        <v>2.78</v>
      </c>
      <c r="M603" s="9">
        <f t="shared" si="9"/>
        <v>1.0805</v>
      </c>
    </row>
    <row r="604" spans="1:13" x14ac:dyDescent="0.3">
      <c r="A604" t="s">
        <v>895</v>
      </c>
      <c r="B604" s="1">
        <v>45842</v>
      </c>
      <c r="C604" t="s">
        <v>172</v>
      </c>
      <c r="D604" t="s">
        <v>40</v>
      </c>
      <c r="E604" t="s">
        <v>41</v>
      </c>
      <c r="F604" t="s">
        <v>42</v>
      </c>
      <c r="G604" t="s">
        <v>28</v>
      </c>
      <c r="H604">
        <v>1</v>
      </c>
      <c r="I604" s="12">
        <v>55.15</v>
      </c>
      <c r="J604" s="12">
        <v>0.1</v>
      </c>
      <c r="K604" s="9">
        <v>49.64</v>
      </c>
      <c r="L604" s="9">
        <v>10.58</v>
      </c>
      <c r="M604" s="9">
        <f t="shared" si="9"/>
        <v>5.5150000000000006</v>
      </c>
    </row>
    <row r="605" spans="1:13" x14ac:dyDescent="0.3">
      <c r="A605" t="s">
        <v>896</v>
      </c>
      <c r="B605" s="1">
        <v>45843</v>
      </c>
      <c r="C605" t="s">
        <v>442</v>
      </c>
      <c r="D605" t="s">
        <v>25</v>
      </c>
      <c r="E605" t="s">
        <v>37</v>
      </c>
      <c r="F605" t="s">
        <v>27</v>
      </c>
      <c r="G605" t="s">
        <v>22</v>
      </c>
      <c r="H605">
        <v>1</v>
      </c>
      <c r="I605" s="12">
        <v>203.22</v>
      </c>
      <c r="J605" s="12">
        <v>0.1</v>
      </c>
      <c r="K605" s="9">
        <v>182.9</v>
      </c>
      <c r="L605" s="9">
        <v>12.4</v>
      </c>
      <c r="M605" s="9">
        <f t="shared" si="9"/>
        <v>20.322000000000003</v>
      </c>
    </row>
    <row r="606" spans="1:13" x14ac:dyDescent="0.3">
      <c r="A606" t="s">
        <v>897</v>
      </c>
      <c r="B606" s="1">
        <v>45843</v>
      </c>
      <c r="C606" t="s">
        <v>271</v>
      </c>
      <c r="D606" t="s">
        <v>40</v>
      </c>
      <c r="E606" t="s">
        <v>26</v>
      </c>
      <c r="F606" t="s">
        <v>27</v>
      </c>
      <c r="G606" t="s">
        <v>17</v>
      </c>
      <c r="H606">
        <v>3</v>
      </c>
      <c r="I606" s="12">
        <v>73.58</v>
      </c>
      <c r="J606" s="12">
        <v>0</v>
      </c>
      <c r="K606" s="9">
        <v>220.74</v>
      </c>
      <c r="L606" s="9">
        <v>29.54</v>
      </c>
      <c r="M606" s="9">
        <f t="shared" si="9"/>
        <v>0</v>
      </c>
    </row>
    <row r="607" spans="1:13" x14ac:dyDescent="0.3">
      <c r="A607" t="s">
        <v>898</v>
      </c>
      <c r="B607" s="1">
        <v>45844</v>
      </c>
      <c r="C607" t="s">
        <v>770</v>
      </c>
      <c r="D607" t="s">
        <v>14</v>
      </c>
      <c r="E607" t="s">
        <v>65</v>
      </c>
      <c r="F607" t="s">
        <v>16</v>
      </c>
      <c r="G607" t="s">
        <v>28</v>
      </c>
      <c r="H607">
        <v>2</v>
      </c>
      <c r="I607" s="12">
        <v>19.38</v>
      </c>
      <c r="J607" s="12">
        <v>0.2</v>
      </c>
      <c r="K607" s="9">
        <v>31.01</v>
      </c>
      <c r="L607" s="9">
        <v>4.4400000000000004</v>
      </c>
      <c r="M607" s="9">
        <f t="shared" si="9"/>
        <v>7.7519999999999998</v>
      </c>
    </row>
    <row r="608" spans="1:13" x14ac:dyDescent="0.3">
      <c r="A608" t="s">
        <v>899</v>
      </c>
      <c r="B608" s="1">
        <v>45844</v>
      </c>
      <c r="C608" t="s">
        <v>736</v>
      </c>
      <c r="D608" t="s">
        <v>25</v>
      </c>
      <c r="E608" t="s">
        <v>20</v>
      </c>
      <c r="F608" t="s">
        <v>21</v>
      </c>
      <c r="G608" t="s">
        <v>17</v>
      </c>
      <c r="H608">
        <v>2</v>
      </c>
      <c r="I608" s="12">
        <v>179.98</v>
      </c>
      <c r="J608" s="12">
        <v>0.15</v>
      </c>
      <c r="K608" s="9">
        <v>305.97000000000003</v>
      </c>
      <c r="L608" s="9">
        <v>49.34</v>
      </c>
      <c r="M608" s="9">
        <f t="shared" si="9"/>
        <v>53.993999999999993</v>
      </c>
    </row>
    <row r="609" spans="1:13" x14ac:dyDescent="0.3">
      <c r="A609" t="s">
        <v>900</v>
      </c>
      <c r="B609" s="1">
        <v>45844</v>
      </c>
      <c r="C609" t="s">
        <v>578</v>
      </c>
      <c r="D609" t="s">
        <v>14</v>
      </c>
      <c r="E609" t="s">
        <v>41</v>
      </c>
      <c r="F609" t="s">
        <v>42</v>
      </c>
      <c r="G609" t="s">
        <v>28</v>
      </c>
      <c r="H609">
        <v>1</v>
      </c>
      <c r="I609" s="12">
        <v>57.31</v>
      </c>
      <c r="J609" s="12">
        <v>0.05</v>
      </c>
      <c r="K609" s="9">
        <v>54.45</v>
      </c>
      <c r="L609" s="9">
        <v>4.8600000000000003</v>
      </c>
      <c r="M609" s="9">
        <f t="shared" si="9"/>
        <v>2.8655000000000004</v>
      </c>
    </row>
    <row r="610" spans="1:13" x14ac:dyDescent="0.3">
      <c r="A610" t="s">
        <v>901</v>
      </c>
      <c r="B610" s="1">
        <v>45844</v>
      </c>
      <c r="C610" t="s">
        <v>550</v>
      </c>
      <c r="D610" t="s">
        <v>14</v>
      </c>
      <c r="E610" t="s">
        <v>20</v>
      </c>
      <c r="F610" t="s">
        <v>21</v>
      </c>
      <c r="G610" t="s">
        <v>17</v>
      </c>
      <c r="H610">
        <v>2</v>
      </c>
      <c r="I610" s="12">
        <v>162.55000000000001</v>
      </c>
      <c r="J610" s="12">
        <v>0</v>
      </c>
      <c r="K610" s="9">
        <v>325.10000000000002</v>
      </c>
      <c r="L610" s="9">
        <v>40.32</v>
      </c>
      <c r="M610" s="9">
        <f t="shared" si="9"/>
        <v>0</v>
      </c>
    </row>
    <row r="611" spans="1:13" x14ac:dyDescent="0.3">
      <c r="A611" t="s">
        <v>902</v>
      </c>
      <c r="B611" s="1">
        <v>45844</v>
      </c>
      <c r="C611" t="s">
        <v>189</v>
      </c>
      <c r="D611" t="s">
        <v>40</v>
      </c>
      <c r="E611" t="s">
        <v>54</v>
      </c>
      <c r="F611" t="s">
        <v>27</v>
      </c>
      <c r="G611" t="s">
        <v>32</v>
      </c>
      <c r="H611">
        <v>1</v>
      </c>
      <c r="I611" s="12">
        <v>26.6</v>
      </c>
      <c r="J611" s="12">
        <v>0.1</v>
      </c>
      <c r="K611" s="9">
        <v>23.94</v>
      </c>
      <c r="L611" s="9">
        <v>5.47</v>
      </c>
      <c r="M611" s="9">
        <f t="shared" si="9"/>
        <v>2.66</v>
      </c>
    </row>
    <row r="612" spans="1:13" x14ac:dyDescent="0.3">
      <c r="A612" t="s">
        <v>903</v>
      </c>
      <c r="B612" s="1">
        <v>45844</v>
      </c>
      <c r="C612" t="s">
        <v>825</v>
      </c>
      <c r="D612" t="s">
        <v>40</v>
      </c>
      <c r="E612" t="s">
        <v>92</v>
      </c>
      <c r="F612" t="s">
        <v>16</v>
      </c>
      <c r="G612" t="s">
        <v>32</v>
      </c>
      <c r="H612">
        <v>1</v>
      </c>
      <c r="I612" s="12">
        <v>8.2899999999999991</v>
      </c>
      <c r="J612" s="12">
        <v>0.15</v>
      </c>
      <c r="K612" s="9">
        <v>7.05</v>
      </c>
      <c r="L612" s="9">
        <v>1.32</v>
      </c>
      <c r="M612" s="9">
        <f t="shared" si="9"/>
        <v>1.2434999999999998</v>
      </c>
    </row>
    <row r="613" spans="1:13" x14ac:dyDescent="0.3">
      <c r="A613" t="s">
        <v>904</v>
      </c>
      <c r="B613" s="1">
        <v>45844</v>
      </c>
      <c r="C613" t="s">
        <v>389</v>
      </c>
      <c r="D613" t="s">
        <v>14</v>
      </c>
      <c r="E613" t="s">
        <v>54</v>
      </c>
      <c r="F613" t="s">
        <v>27</v>
      </c>
      <c r="G613" t="s">
        <v>17</v>
      </c>
      <c r="H613">
        <v>2</v>
      </c>
      <c r="I613" s="12">
        <v>30.57</v>
      </c>
      <c r="J613" s="12">
        <v>0.15</v>
      </c>
      <c r="K613" s="9">
        <v>51.97</v>
      </c>
      <c r="L613" s="9">
        <v>4.1500000000000004</v>
      </c>
      <c r="M613" s="9">
        <f t="shared" si="9"/>
        <v>9.1709999999999994</v>
      </c>
    </row>
    <row r="614" spans="1:13" x14ac:dyDescent="0.3">
      <c r="A614" t="s">
        <v>905</v>
      </c>
      <c r="B614" s="1">
        <v>45845</v>
      </c>
      <c r="C614" t="s">
        <v>155</v>
      </c>
      <c r="D614" t="s">
        <v>25</v>
      </c>
      <c r="E614" t="s">
        <v>110</v>
      </c>
      <c r="F614" t="s">
        <v>42</v>
      </c>
      <c r="G614" t="s">
        <v>17</v>
      </c>
      <c r="H614">
        <v>1</v>
      </c>
      <c r="I614" s="12">
        <v>20.46</v>
      </c>
      <c r="J614" s="12">
        <v>0.05</v>
      </c>
      <c r="K614" s="9">
        <v>19.440000000000001</v>
      </c>
      <c r="L614" s="9">
        <v>2.56</v>
      </c>
      <c r="M614" s="9">
        <f t="shared" si="9"/>
        <v>1.0230000000000001</v>
      </c>
    </row>
    <row r="615" spans="1:13" x14ac:dyDescent="0.3">
      <c r="A615" t="s">
        <v>906</v>
      </c>
      <c r="B615" s="1">
        <v>45845</v>
      </c>
      <c r="C615" t="s">
        <v>827</v>
      </c>
      <c r="D615" t="s">
        <v>25</v>
      </c>
      <c r="E615" t="s">
        <v>41</v>
      </c>
      <c r="F615" t="s">
        <v>42</v>
      </c>
      <c r="G615" t="s">
        <v>28</v>
      </c>
      <c r="H615">
        <v>2</v>
      </c>
      <c r="I615" s="12">
        <v>55.5</v>
      </c>
      <c r="J615" s="12">
        <v>0.1</v>
      </c>
      <c r="K615" s="9">
        <v>99.9</v>
      </c>
      <c r="L615" s="9">
        <v>6.4</v>
      </c>
      <c r="M615" s="9">
        <f t="shared" si="9"/>
        <v>11.100000000000001</v>
      </c>
    </row>
    <row r="616" spans="1:13" x14ac:dyDescent="0.3">
      <c r="A616" t="s">
        <v>907</v>
      </c>
      <c r="B616" s="1">
        <v>45845</v>
      </c>
      <c r="C616" t="s">
        <v>193</v>
      </c>
      <c r="D616" t="s">
        <v>14</v>
      </c>
      <c r="E616" t="s">
        <v>54</v>
      </c>
      <c r="F616" t="s">
        <v>27</v>
      </c>
      <c r="G616" t="s">
        <v>32</v>
      </c>
      <c r="H616">
        <v>1</v>
      </c>
      <c r="I616" s="12">
        <v>29.17</v>
      </c>
      <c r="J616" s="12">
        <v>0.1</v>
      </c>
      <c r="K616" s="9">
        <v>26.25</v>
      </c>
      <c r="L616" s="9">
        <v>2.29</v>
      </c>
      <c r="M616" s="9">
        <f t="shared" si="9"/>
        <v>2.9170000000000003</v>
      </c>
    </row>
    <row r="617" spans="1:13" x14ac:dyDescent="0.3">
      <c r="A617" t="s">
        <v>908</v>
      </c>
      <c r="B617" s="1">
        <v>45845</v>
      </c>
      <c r="C617" t="s">
        <v>207</v>
      </c>
      <c r="D617" t="s">
        <v>25</v>
      </c>
      <c r="E617" t="s">
        <v>31</v>
      </c>
      <c r="F617" t="s">
        <v>21</v>
      </c>
      <c r="G617" t="s">
        <v>28</v>
      </c>
      <c r="H617">
        <v>4</v>
      </c>
      <c r="I617" s="12">
        <v>44.36</v>
      </c>
      <c r="J617" s="12">
        <v>0.05</v>
      </c>
      <c r="K617" s="9">
        <v>168.55</v>
      </c>
      <c r="L617" s="9">
        <v>27.65</v>
      </c>
      <c r="M617" s="9">
        <f t="shared" si="9"/>
        <v>8.8719999999999999</v>
      </c>
    </row>
    <row r="618" spans="1:13" x14ac:dyDescent="0.3">
      <c r="A618" t="s">
        <v>909</v>
      </c>
      <c r="B618" s="1">
        <v>45846</v>
      </c>
      <c r="C618" t="s">
        <v>713</v>
      </c>
      <c r="D618" t="s">
        <v>40</v>
      </c>
      <c r="E618" t="s">
        <v>20</v>
      </c>
      <c r="F618" t="s">
        <v>21</v>
      </c>
      <c r="G618" t="s">
        <v>22</v>
      </c>
      <c r="H618">
        <v>1</v>
      </c>
      <c r="I618" s="12">
        <v>166.51</v>
      </c>
      <c r="J618" s="12">
        <v>0</v>
      </c>
      <c r="K618" s="9">
        <v>166.51</v>
      </c>
      <c r="L618" s="9">
        <v>35.15</v>
      </c>
      <c r="M618" s="9">
        <f t="shared" si="9"/>
        <v>0</v>
      </c>
    </row>
    <row r="619" spans="1:13" x14ac:dyDescent="0.3">
      <c r="A619" t="s">
        <v>910</v>
      </c>
      <c r="B619" s="1">
        <v>45846</v>
      </c>
      <c r="C619" t="s">
        <v>523</v>
      </c>
      <c r="D619" t="s">
        <v>40</v>
      </c>
      <c r="E619" t="s">
        <v>65</v>
      </c>
      <c r="F619" t="s">
        <v>16</v>
      </c>
      <c r="G619" t="s">
        <v>28</v>
      </c>
      <c r="H619">
        <v>3</v>
      </c>
      <c r="I619" s="12">
        <v>18.13</v>
      </c>
      <c r="J619" s="12">
        <v>0</v>
      </c>
      <c r="K619" s="9">
        <v>54.38</v>
      </c>
      <c r="L619" s="9">
        <v>4.76</v>
      </c>
      <c r="M619" s="9">
        <f t="shared" si="9"/>
        <v>0</v>
      </c>
    </row>
    <row r="620" spans="1:13" x14ac:dyDescent="0.3">
      <c r="A620" t="s">
        <v>911</v>
      </c>
      <c r="B620" s="1">
        <v>45846</v>
      </c>
      <c r="C620" t="s">
        <v>912</v>
      </c>
      <c r="D620" t="s">
        <v>14</v>
      </c>
      <c r="E620" t="s">
        <v>54</v>
      </c>
      <c r="F620" t="s">
        <v>27</v>
      </c>
      <c r="G620" t="s">
        <v>28</v>
      </c>
      <c r="H620">
        <v>2</v>
      </c>
      <c r="I620" s="12">
        <v>30.18</v>
      </c>
      <c r="J620" s="12">
        <v>0.1</v>
      </c>
      <c r="K620" s="9">
        <v>54.32</v>
      </c>
      <c r="L620" s="9">
        <v>8.7100000000000009</v>
      </c>
      <c r="M620" s="9">
        <f t="shared" si="9"/>
        <v>6.0360000000000005</v>
      </c>
    </row>
    <row r="621" spans="1:13" x14ac:dyDescent="0.3">
      <c r="A621" t="s">
        <v>913</v>
      </c>
      <c r="B621" s="1">
        <v>45846</v>
      </c>
      <c r="C621" t="s">
        <v>516</v>
      </c>
      <c r="D621" t="s">
        <v>14</v>
      </c>
      <c r="E621" t="s">
        <v>56</v>
      </c>
      <c r="F621" t="s">
        <v>21</v>
      </c>
      <c r="G621" t="s">
        <v>22</v>
      </c>
      <c r="H621">
        <v>3</v>
      </c>
      <c r="I621" s="12">
        <v>319.05</v>
      </c>
      <c r="J621" s="12">
        <v>0.05</v>
      </c>
      <c r="K621" s="9">
        <v>909.28</v>
      </c>
      <c r="L621" s="9">
        <v>83.72</v>
      </c>
      <c r="M621" s="9">
        <f t="shared" si="9"/>
        <v>47.857500000000009</v>
      </c>
    </row>
    <row r="622" spans="1:13" x14ac:dyDescent="0.3">
      <c r="A622" t="s">
        <v>914</v>
      </c>
      <c r="B622" s="1">
        <v>45846</v>
      </c>
      <c r="C622" t="s">
        <v>231</v>
      </c>
      <c r="D622" t="s">
        <v>40</v>
      </c>
      <c r="E622" t="s">
        <v>15</v>
      </c>
      <c r="F622" t="s">
        <v>16</v>
      </c>
      <c r="G622" t="s">
        <v>17</v>
      </c>
      <c r="H622">
        <v>1</v>
      </c>
      <c r="I622" s="12">
        <v>13.19</v>
      </c>
      <c r="J622" s="12">
        <v>0.1</v>
      </c>
      <c r="K622" s="9">
        <v>11.87</v>
      </c>
      <c r="L622" s="9">
        <v>2.87</v>
      </c>
      <c r="M622" s="9">
        <f t="shared" si="9"/>
        <v>1.319</v>
      </c>
    </row>
    <row r="623" spans="1:13" x14ac:dyDescent="0.3">
      <c r="A623" t="s">
        <v>915</v>
      </c>
      <c r="B623" s="1">
        <v>45846</v>
      </c>
      <c r="C623" t="s">
        <v>19</v>
      </c>
      <c r="D623" t="s">
        <v>14</v>
      </c>
      <c r="E623" t="s">
        <v>26</v>
      </c>
      <c r="F623" t="s">
        <v>27</v>
      </c>
      <c r="G623" t="s">
        <v>32</v>
      </c>
      <c r="H623">
        <v>1</v>
      </c>
      <c r="I623" s="12">
        <v>77.680000000000007</v>
      </c>
      <c r="J623" s="12">
        <v>0.05</v>
      </c>
      <c r="K623" s="9">
        <v>73.790000000000006</v>
      </c>
      <c r="L623" s="9">
        <v>14.02</v>
      </c>
      <c r="M623" s="9">
        <f t="shared" si="9"/>
        <v>3.8840000000000003</v>
      </c>
    </row>
    <row r="624" spans="1:13" x14ac:dyDescent="0.3">
      <c r="A624" t="s">
        <v>916</v>
      </c>
      <c r="B624" s="1">
        <v>45846</v>
      </c>
      <c r="C624" t="s">
        <v>520</v>
      </c>
      <c r="D624" t="s">
        <v>14</v>
      </c>
      <c r="E624" t="s">
        <v>65</v>
      </c>
      <c r="F624" t="s">
        <v>16</v>
      </c>
      <c r="G624" t="s">
        <v>17</v>
      </c>
      <c r="H624">
        <v>4</v>
      </c>
      <c r="I624" s="12">
        <v>19.489999999999998</v>
      </c>
      <c r="J624" s="12">
        <v>0</v>
      </c>
      <c r="K624" s="9">
        <v>77.959999999999994</v>
      </c>
      <c r="L624" s="9">
        <v>21.53</v>
      </c>
      <c r="M624" s="9">
        <f t="shared" si="9"/>
        <v>0</v>
      </c>
    </row>
    <row r="625" spans="1:13" x14ac:dyDescent="0.3">
      <c r="A625" t="s">
        <v>917</v>
      </c>
      <c r="B625" s="1">
        <v>45847</v>
      </c>
      <c r="C625" t="s">
        <v>19</v>
      </c>
      <c r="D625" t="s">
        <v>40</v>
      </c>
      <c r="E625" t="s">
        <v>31</v>
      </c>
      <c r="F625" t="s">
        <v>21</v>
      </c>
      <c r="G625" t="s">
        <v>32</v>
      </c>
      <c r="H625">
        <v>1</v>
      </c>
      <c r="I625" s="12">
        <v>44.36</v>
      </c>
      <c r="J625" s="12">
        <v>0.2</v>
      </c>
      <c r="K625" s="9">
        <v>35.49</v>
      </c>
      <c r="L625" s="9">
        <v>3.93</v>
      </c>
      <c r="M625" s="9">
        <f t="shared" si="9"/>
        <v>8.8719999999999999</v>
      </c>
    </row>
    <row r="626" spans="1:13" x14ac:dyDescent="0.3">
      <c r="A626" t="s">
        <v>918</v>
      </c>
      <c r="B626" s="1">
        <v>45847</v>
      </c>
      <c r="C626" t="s">
        <v>343</v>
      </c>
      <c r="D626" t="s">
        <v>40</v>
      </c>
      <c r="E626" t="s">
        <v>54</v>
      </c>
      <c r="F626" t="s">
        <v>27</v>
      </c>
      <c r="G626" t="s">
        <v>32</v>
      </c>
      <c r="H626">
        <v>3</v>
      </c>
      <c r="I626" s="12">
        <v>27.84</v>
      </c>
      <c r="J626" s="12">
        <v>0.1</v>
      </c>
      <c r="K626" s="9">
        <v>75.17</v>
      </c>
      <c r="L626" s="9">
        <v>18.55</v>
      </c>
      <c r="M626" s="9">
        <f t="shared" si="9"/>
        <v>8.3520000000000003</v>
      </c>
    </row>
    <row r="627" spans="1:13" x14ac:dyDescent="0.3">
      <c r="A627" t="s">
        <v>919</v>
      </c>
      <c r="B627" s="1">
        <v>45847</v>
      </c>
      <c r="C627" t="s">
        <v>655</v>
      </c>
      <c r="D627" t="s">
        <v>14</v>
      </c>
      <c r="E627" t="s">
        <v>31</v>
      </c>
      <c r="F627" t="s">
        <v>21</v>
      </c>
      <c r="G627" t="s">
        <v>22</v>
      </c>
      <c r="H627">
        <v>1</v>
      </c>
      <c r="I627" s="12">
        <v>37.979999999999997</v>
      </c>
      <c r="J627" s="12">
        <v>0.1</v>
      </c>
      <c r="K627" s="9">
        <v>34.18</v>
      </c>
      <c r="L627" s="9">
        <v>6.45</v>
      </c>
      <c r="M627" s="9">
        <f t="shared" si="9"/>
        <v>3.798</v>
      </c>
    </row>
    <row r="628" spans="1:13" x14ac:dyDescent="0.3">
      <c r="A628" t="s">
        <v>920</v>
      </c>
      <c r="B628" s="1">
        <v>45847</v>
      </c>
      <c r="C628" t="s">
        <v>784</v>
      </c>
      <c r="D628" t="s">
        <v>40</v>
      </c>
      <c r="E628" t="s">
        <v>26</v>
      </c>
      <c r="F628" t="s">
        <v>27</v>
      </c>
      <c r="G628" t="s">
        <v>32</v>
      </c>
      <c r="H628">
        <v>2</v>
      </c>
      <c r="I628" s="12">
        <v>70.930000000000007</v>
      </c>
      <c r="J628" s="12">
        <v>0.1</v>
      </c>
      <c r="K628" s="9">
        <v>127.68</v>
      </c>
      <c r="L628" s="9">
        <v>13.82</v>
      </c>
      <c r="M628" s="9">
        <f t="shared" si="9"/>
        <v>14.186000000000002</v>
      </c>
    </row>
    <row r="629" spans="1:13" x14ac:dyDescent="0.3">
      <c r="A629" t="s">
        <v>921</v>
      </c>
      <c r="B629" s="1">
        <v>45847</v>
      </c>
      <c r="C629" t="s">
        <v>423</v>
      </c>
      <c r="D629" t="s">
        <v>14</v>
      </c>
      <c r="E629" t="s">
        <v>54</v>
      </c>
      <c r="F629" t="s">
        <v>27</v>
      </c>
      <c r="G629" t="s">
        <v>28</v>
      </c>
      <c r="H629">
        <v>4</v>
      </c>
      <c r="I629" s="12">
        <v>28.51</v>
      </c>
      <c r="J629" s="12">
        <v>0</v>
      </c>
      <c r="K629" s="9">
        <v>114.03</v>
      </c>
      <c r="L629" s="9">
        <v>20.66</v>
      </c>
      <c r="M629" s="9">
        <f t="shared" si="9"/>
        <v>0</v>
      </c>
    </row>
    <row r="630" spans="1:13" x14ac:dyDescent="0.3">
      <c r="A630" t="s">
        <v>922</v>
      </c>
      <c r="B630" s="1">
        <v>45848</v>
      </c>
      <c r="C630" t="s">
        <v>778</v>
      </c>
      <c r="D630" t="s">
        <v>25</v>
      </c>
      <c r="E630" t="s">
        <v>41</v>
      </c>
      <c r="F630" t="s">
        <v>42</v>
      </c>
      <c r="G630" t="s">
        <v>17</v>
      </c>
      <c r="H630">
        <v>1</v>
      </c>
      <c r="I630" s="12">
        <v>49.63</v>
      </c>
      <c r="J630" s="12">
        <v>0.2</v>
      </c>
      <c r="K630" s="9">
        <v>39.71</v>
      </c>
      <c r="L630" s="9">
        <v>9.64</v>
      </c>
      <c r="M630" s="9">
        <f t="shared" si="9"/>
        <v>9.9260000000000019</v>
      </c>
    </row>
    <row r="631" spans="1:13" x14ac:dyDescent="0.3">
      <c r="A631" t="s">
        <v>923</v>
      </c>
      <c r="B631" s="1">
        <v>45848</v>
      </c>
      <c r="C631" t="s">
        <v>130</v>
      </c>
      <c r="D631" t="s">
        <v>40</v>
      </c>
      <c r="E631" t="s">
        <v>92</v>
      </c>
      <c r="F631" t="s">
        <v>16</v>
      </c>
      <c r="G631" t="s">
        <v>17</v>
      </c>
      <c r="H631">
        <v>1</v>
      </c>
      <c r="I631" s="12">
        <v>8.56</v>
      </c>
      <c r="J631" s="12">
        <v>0.1</v>
      </c>
      <c r="K631" s="9">
        <v>7.7</v>
      </c>
      <c r="L631" s="9">
        <v>0.82</v>
      </c>
      <c r="M631" s="9">
        <f t="shared" si="9"/>
        <v>0.85600000000000009</v>
      </c>
    </row>
    <row r="632" spans="1:13" x14ac:dyDescent="0.3">
      <c r="A632" t="s">
        <v>924</v>
      </c>
      <c r="B632" s="1">
        <v>45848</v>
      </c>
      <c r="C632" t="s">
        <v>608</v>
      </c>
      <c r="D632" t="s">
        <v>14</v>
      </c>
      <c r="E632" t="s">
        <v>20</v>
      </c>
      <c r="F632" t="s">
        <v>21</v>
      </c>
      <c r="G632" t="s">
        <v>17</v>
      </c>
      <c r="H632">
        <v>2</v>
      </c>
      <c r="I632" s="12">
        <v>177.56</v>
      </c>
      <c r="J632" s="12">
        <v>0.05</v>
      </c>
      <c r="K632" s="9">
        <v>337.37</v>
      </c>
      <c r="L632" s="9">
        <v>90.31</v>
      </c>
      <c r="M632" s="9">
        <f t="shared" si="9"/>
        <v>17.756</v>
      </c>
    </row>
    <row r="633" spans="1:13" x14ac:dyDescent="0.3">
      <c r="A633" t="s">
        <v>925</v>
      </c>
      <c r="B633" s="1">
        <v>45848</v>
      </c>
      <c r="C633" t="s">
        <v>13</v>
      </c>
      <c r="D633" t="s">
        <v>40</v>
      </c>
      <c r="E633" t="s">
        <v>15</v>
      </c>
      <c r="F633" t="s">
        <v>16</v>
      </c>
      <c r="G633" t="s">
        <v>17</v>
      </c>
      <c r="H633">
        <v>1</v>
      </c>
      <c r="I633" s="12">
        <v>12.67</v>
      </c>
      <c r="J633" s="12">
        <v>0.1</v>
      </c>
      <c r="K633" s="9">
        <v>11.4</v>
      </c>
      <c r="L633" s="9">
        <v>1.35</v>
      </c>
      <c r="M633" s="9">
        <f t="shared" si="9"/>
        <v>1.2670000000000001</v>
      </c>
    </row>
    <row r="634" spans="1:13" x14ac:dyDescent="0.3">
      <c r="A634" t="s">
        <v>926</v>
      </c>
      <c r="B634" s="1">
        <v>45849</v>
      </c>
      <c r="C634" t="s">
        <v>339</v>
      </c>
      <c r="D634" t="s">
        <v>40</v>
      </c>
      <c r="E634" t="s">
        <v>51</v>
      </c>
      <c r="F634" t="s">
        <v>27</v>
      </c>
      <c r="G634" t="s">
        <v>28</v>
      </c>
      <c r="H634">
        <v>2</v>
      </c>
      <c r="I634" s="12">
        <v>869.19</v>
      </c>
      <c r="J634" s="12">
        <v>0</v>
      </c>
      <c r="K634" s="9">
        <v>1738.38</v>
      </c>
      <c r="L634" s="9">
        <v>435.43</v>
      </c>
      <c r="M634" s="9">
        <f t="shared" si="9"/>
        <v>0</v>
      </c>
    </row>
    <row r="635" spans="1:13" x14ac:dyDescent="0.3">
      <c r="A635" t="s">
        <v>927</v>
      </c>
      <c r="B635" s="1">
        <v>45849</v>
      </c>
      <c r="C635" t="s">
        <v>191</v>
      </c>
      <c r="D635" t="s">
        <v>14</v>
      </c>
      <c r="E635" t="s">
        <v>41</v>
      </c>
      <c r="F635" t="s">
        <v>42</v>
      </c>
      <c r="G635" t="s">
        <v>22</v>
      </c>
      <c r="H635">
        <v>1</v>
      </c>
      <c r="I635" s="12">
        <v>57.75</v>
      </c>
      <c r="J635" s="12">
        <v>0.15</v>
      </c>
      <c r="K635" s="9">
        <v>49.09</v>
      </c>
      <c r="L635" s="9">
        <v>10.9</v>
      </c>
      <c r="M635" s="9">
        <f t="shared" si="9"/>
        <v>8.6624999999999996</v>
      </c>
    </row>
    <row r="636" spans="1:13" x14ac:dyDescent="0.3">
      <c r="A636" t="s">
        <v>928</v>
      </c>
      <c r="B636" s="1">
        <v>45849</v>
      </c>
      <c r="C636" t="s">
        <v>929</v>
      </c>
      <c r="D636" t="s">
        <v>14</v>
      </c>
      <c r="E636" t="s">
        <v>110</v>
      </c>
      <c r="F636" t="s">
        <v>42</v>
      </c>
      <c r="G636" t="s">
        <v>32</v>
      </c>
      <c r="H636">
        <v>1</v>
      </c>
      <c r="I636" s="12">
        <v>21.77</v>
      </c>
      <c r="J636" s="12">
        <v>0.1</v>
      </c>
      <c r="K636" s="9">
        <v>19.59</v>
      </c>
      <c r="L636" s="9">
        <v>2.75</v>
      </c>
      <c r="M636" s="9">
        <f t="shared" si="9"/>
        <v>2.177</v>
      </c>
    </row>
    <row r="637" spans="1:13" x14ac:dyDescent="0.3">
      <c r="A637" t="s">
        <v>930</v>
      </c>
      <c r="B637" s="1">
        <v>45850</v>
      </c>
      <c r="C637" t="s">
        <v>646</v>
      </c>
      <c r="D637" t="s">
        <v>14</v>
      </c>
      <c r="E637" t="s">
        <v>51</v>
      </c>
      <c r="F637" t="s">
        <v>27</v>
      </c>
      <c r="G637" t="s">
        <v>32</v>
      </c>
      <c r="H637">
        <v>3</v>
      </c>
      <c r="I637" s="12">
        <v>1016.49</v>
      </c>
      <c r="J637" s="12">
        <v>0</v>
      </c>
      <c r="K637" s="9">
        <v>3049.46</v>
      </c>
      <c r="L637" s="9">
        <v>686.85</v>
      </c>
      <c r="M637" s="9">
        <f t="shared" si="9"/>
        <v>0</v>
      </c>
    </row>
    <row r="638" spans="1:13" x14ac:dyDescent="0.3">
      <c r="A638" t="s">
        <v>931</v>
      </c>
      <c r="B638" s="1">
        <v>45850</v>
      </c>
      <c r="C638" t="s">
        <v>834</v>
      </c>
      <c r="D638" t="s">
        <v>40</v>
      </c>
      <c r="E638" t="s">
        <v>20</v>
      </c>
      <c r="F638" t="s">
        <v>21</v>
      </c>
      <c r="G638" t="s">
        <v>17</v>
      </c>
      <c r="H638">
        <v>2</v>
      </c>
      <c r="I638" s="12">
        <v>187.14</v>
      </c>
      <c r="J638" s="12">
        <v>0.05</v>
      </c>
      <c r="K638" s="9">
        <v>355.56</v>
      </c>
      <c r="L638" s="9">
        <v>56.08</v>
      </c>
      <c r="M638" s="9">
        <f t="shared" si="9"/>
        <v>18.713999999999999</v>
      </c>
    </row>
    <row r="639" spans="1:13" x14ac:dyDescent="0.3">
      <c r="A639" t="s">
        <v>932</v>
      </c>
      <c r="B639" s="1">
        <v>45850</v>
      </c>
      <c r="C639" t="s">
        <v>348</v>
      </c>
      <c r="D639" t="s">
        <v>14</v>
      </c>
      <c r="E639" t="s">
        <v>15</v>
      </c>
      <c r="F639" t="s">
        <v>16</v>
      </c>
      <c r="G639" t="s">
        <v>22</v>
      </c>
      <c r="H639">
        <v>3</v>
      </c>
      <c r="I639" s="12">
        <v>13.08</v>
      </c>
      <c r="J639" s="12">
        <v>0.15</v>
      </c>
      <c r="K639" s="9">
        <v>33.340000000000003</v>
      </c>
      <c r="L639" s="9">
        <v>1.46</v>
      </c>
      <c r="M639" s="9">
        <f t="shared" si="9"/>
        <v>5.8860000000000001</v>
      </c>
    </row>
    <row r="640" spans="1:13" x14ac:dyDescent="0.3">
      <c r="A640" t="s">
        <v>933</v>
      </c>
      <c r="B640" s="1">
        <v>45850</v>
      </c>
      <c r="C640" t="s">
        <v>320</v>
      </c>
      <c r="D640" t="s">
        <v>40</v>
      </c>
      <c r="E640" t="s">
        <v>31</v>
      </c>
      <c r="F640" t="s">
        <v>21</v>
      </c>
      <c r="G640" t="s">
        <v>17</v>
      </c>
      <c r="H640">
        <v>2</v>
      </c>
      <c r="I640" s="12">
        <v>43.03</v>
      </c>
      <c r="J640" s="12">
        <v>0</v>
      </c>
      <c r="K640" s="9">
        <v>86.06</v>
      </c>
      <c r="L640" s="9">
        <v>18.12</v>
      </c>
      <c r="M640" s="9">
        <f t="shared" si="9"/>
        <v>0</v>
      </c>
    </row>
    <row r="641" spans="1:13" x14ac:dyDescent="0.3">
      <c r="A641" t="s">
        <v>934</v>
      </c>
      <c r="B641" s="1">
        <v>45851</v>
      </c>
      <c r="C641" t="s">
        <v>877</v>
      </c>
      <c r="D641" t="s">
        <v>14</v>
      </c>
      <c r="E641" t="s">
        <v>110</v>
      </c>
      <c r="F641" t="s">
        <v>42</v>
      </c>
      <c r="G641" t="s">
        <v>32</v>
      </c>
      <c r="H641">
        <v>1</v>
      </c>
      <c r="I641" s="12">
        <v>20.27</v>
      </c>
      <c r="J641" s="12">
        <v>0</v>
      </c>
      <c r="K641" s="9">
        <v>20.27</v>
      </c>
      <c r="L641" s="9">
        <v>4.95</v>
      </c>
      <c r="M641" s="9">
        <f t="shared" si="9"/>
        <v>0</v>
      </c>
    </row>
    <row r="642" spans="1:13" x14ac:dyDescent="0.3">
      <c r="A642" t="s">
        <v>935</v>
      </c>
      <c r="B642" s="1">
        <v>45851</v>
      </c>
      <c r="C642" t="s">
        <v>834</v>
      </c>
      <c r="D642" t="s">
        <v>25</v>
      </c>
      <c r="E642" t="s">
        <v>20</v>
      </c>
      <c r="F642" t="s">
        <v>21</v>
      </c>
      <c r="G642" t="s">
        <v>17</v>
      </c>
      <c r="H642">
        <v>5</v>
      </c>
      <c r="I642" s="12">
        <v>181.15</v>
      </c>
      <c r="J642" s="12">
        <v>0</v>
      </c>
      <c r="K642" s="9">
        <v>905.75</v>
      </c>
      <c r="L642" s="9">
        <v>165.08</v>
      </c>
      <c r="M642" s="9">
        <f t="shared" si="9"/>
        <v>0</v>
      </c>
    </row>
    <row r="643" spans="1:13" x14ac:dyDescent="0.3">
      <c r="A643" t="s">
        <v>936</v>
      </c>
      <c r="B643" s="1">
        <v>45851</v>
      </c>
      <c r="C643" t="s">
        <v>89</v>
      </c>
      <c r="D643" t="s">
        <v>25</v>
      </c>
      <c r="E643" t="s">
        <v>110</v>
      </c>
      <c r="F643" t="s">
        <v>42</v>
      </c>
      <c r="G643" t="s">
        <v>32</v>
      </c>
      <c r="H643">
        <v>3</v>
      </c>
      <c r="I643" s="12">
        <v>21.9</v>
      </c>
      <c r="J643" s="12">
        <v>0.2</v>
      </c>
      <c r="K643" s="9">
        <v>52.57</v>
      </c>
      <c r="L643" s="9">
        <v>9.69</v>
      </c>
      <c r="M643" s="9">
        <f t="shared" ref="M643:M706" si="10">H643*I643*J643</f>
        <v>13.139999999999999</v>
      </c>
    </row>
    <row r="644" spans="1:13" x14ac:dyDescent="0.3">
      <c r="A644" t="s">
        <v>937</v>
      </c>
      <c r="B644" s="1">
        <v>45852</v>
      </c>
      <c r="C644" t="s">
        <v>44</v>
      </c>
      <c r="D644" t="s">
        <v>40</v>
      </c>
      <c r="E644" t="s">
        <v>41</v>
      </c>
      <c r="F644" t="s">
        <v>42</v>
      </c>
      <c r="G644" t="s">
        <v>22</v>
      </c>
      <c r="H644">
        <v>1</v>
      </c>
      <c r="I644" s="12">
        <v>49.64</v>
      </c>
      <c r="J644" s="12">
        <v>0.15</v>
      </c>
      <c r="K644" s="9">
        <v>42.19</v>
      </c>
      <c r="L644" s="9">
        <v>5.52</v>
      </c>
      <c r="M644" s="9">
        <f t="shared" si="10"/>
        <v>7.4459999999999997</v>
      </c>
    </row>
    <row r="645" spans="1:13" x14ac:dyDescent="0.3">
      <c r="A645" t="s">
        <v>938</v>
      </c>
      <c r="B645" s="1">
        <v>45852</v>
      </c>
      <c r="C645" t="s">
        <v>514</v>
      </c>
      <c r="D645" t="s">
        <v>40</v>
      </c>
      <c r="E645" t="s">
        <v>65</v>
      </c>
      <c r="F645" t="s">
        <v>16</v>
      </c>
      <c r="G645" t="s">
        <v>28</v>
      </c>
      <c r="H645">
        <v>1</v>
      </c>
      <c r="I645" s="12">
        <v>17.309999999999999</v>
      </c>
      <c r="J645" s="12">
        <v>0.1</v>
      </c>
      <c r="K645" s="9">
        <v>15.58</v>
      </c>
      <c r="L645" s="9">
        <v>1.98</v>
      </c>
      <c r="M645" s="9">
        <f t="shared" si="10"/>
        <v>1.7309999999999999</v>
      </c>
    </row>
    <row r="646" spans="1:13" x14ac:dyDescent="0.3">
      <c r="A646" t="s">
        <v>939</v>
      </c>
      <c r="B646" s="1">
        <v>45852</v>
      </c>
      <c r="C646" t="s">
        <v>70</v>
      </c>
      <c r="D646" t="s">
        <v>14</v>
      </c>
      <c r="E646" t="s">
        <v>54</v>
      </c>
      <c r="F646" t="s">
        <v>27</v>
      </c>
      <c r="G646" t="s">
        <v>32</v>
      </c>
      <c r="H646">
        <v>2</v>
      </c>
      <c r="I646" s="12">
        <v>26.79</v>
      </c>
      <c r="J646" s="12">
        <v>0</v>
      </c>
      <c r="K646" s="9">
        <v>53.57</v>
      </c>
      <c r="L646" s="9">
        <v>13.73</v>
      </c>
      <c r="M646" s="9">
        <f t="shared" si="10"/>
        <v>0</v>
      </c>
    </row>
    <row r="647" spans="1:13" x14ac:dyDescent="0.3">
      <c r="A647" t="s">
        <v>940</v>
      </c>
      <c r="B647" s="1">
        <v>45854</v>
      </c>
      <c r="C647" t="s">
        <v>941</v>
      </c>
      <c r="D647" t="s">
        <v>14</v>
      </c>
      <c r="E647" t="s">
        <v>26</v>
      </c>
      <c r="F647" t="s">
        <v>27</v>
      </c>
      <c r="G647" t="s">
        <v>17</v>
      </c>
      <c r="H647">
        <v>5</v>
      </c>
      <c r="I647" s="12">
        <v>72.81</v>
      </c>
      <c r="J647" s="12">
        <v>0</v>
      </c>
      <c r="K647" s="9">
        <v>364.06</v>
      </c>
      <c r="L647" s="9">
        <v>59.67</v>
      </c>
      <c r="M647" s="9">
        <f t="shared" si="10"/>
        <v>0</v>
      </c>
    </row>
    <row r="648" spans="1:13" x14ac:dyDescent="0.3">
      <c r="A648" t="s">
        <v>942</v>
      </c>
      <c r="B648" s="1">
        <v>45854</v>
      </c>
      <c r="C648" t="s">
        <v>649</v>
      </c>
      <c r="D648" t="s">
        <v>40</v>
      </c>
      <c r="E648" t="s">
        <v>92</v>
      </c>
      <c r="F648" t="s">
        <v>16</v>
      </c>
      <c r="G648" t="s">
        <v>32</v>
      </c>
      <c r="H648">
        <v>1</v>
      </c>
      <c r="I648" s="12">
        <v>8.3000000000000007</v>
      </c>
      <c r="J648" s="12">
        <v>0.05</v>
      </c>
      <c r="K648" s="9">
        <v>7.89</v>
      </c>
      <c r="L648" s="9">
        <v>1.05</v>
      </c>
      <c r="M648" s="9">
        <f t="shared" si="10"/>
        <v>0.41500000000000004</v>
      </c>
    </row>
    <row r="649" spans="1:13" x14ac:dyDescent="0.3">
      <c r="A649" t="s">
        <v>943</v>
      </c>
      <c r="B649" s="1">
        <v>45854</v>
      </c>
      <c r="C649" t="s">
        <v>760</v>
      </c>
      <c r="D649" t="s">
        <v>40</v>
      </c>
      <c r="E649" t="s">
        <v>20</v>
      </c>
      <c r="F649" t="s">
        <v>21</v>
      </c>
      <c r="G649" t="s">
        <v>28</v>
      </c>
      <c r="H649">
        <v>3</v>
      </c>
      <c r="I649" s="12">
        <v>192.59</v>
      </c>
      <c r="J649" s="12">
        <v>0.15</v>
      </c>
      <c r="K649" s="9">
        <v>491.1</v>
      </c>
      <c r="L649" s="9">
        <v>47.55</v>
      </c>
      <c r="M649" s="9">
        <f t="shared" si="10"/>
        <v>86.665499999999994</v>
      </c>
    </row>
    <row r="650" spans="1:13" x14ac:dyDescent="0.3">
      <c r="A650" t="s">
        <v>944</v>
      </c>
      <c r="B650" s="1">
        <v>45855</v>
      </c>
      <c r="C650" t="s">
        <v>830</v>
      </c>
      <c r="D650" t="s">
        <v>25</v>
      </c>
      <c r="E650" t="s">
        <v>51</v>
      </c>
      <c r="F650" t="s">
        <v>27</v>
      </c>
      <c r="G650" t="s">
        <v>22</v>
      </c>
      <c r="H650">
        <v>2</v>
      </c>
      <c r="I650" s="12">
        <v>956.74</v>
      </c>
      <c r="J650" s="12">
        <v>0</v>
      </c>
      <c r="K650" s="9">
        <v>1913.48</v>
      </c>
      <c r="L650" s="9">
        <v>511.19</v>
      </c>
      <c r="M650" s="9">
        <f t="shared" si="10"/>
        <v>0</v>
      </c>
    </row>
    <row r="651" spans="1:13" x14ac:dyDescent="0.3">
      <c r="A651" t="s">
        <v>945</v>
      </c>
      <c r="B651" s="1">
        <v>45855</v>
      </c>
      <c r="C651" t="s">
        <v>72</v>
      </c>
      <c r="D651" t="s">
        <v>40</v>
      </c>
      <c r="E651" t="s">
        <v>26</v>
      </c>
      <c r="F651" t="s">
        <v>27</v>
      </c>
      <c r="G651" t="s">
        <v>32</v>
      </c>
      <c r="H651">
        <v>2</v>
      </c>
      <c r="I651" s="12">
        <v>78.41</v>
      </c>
      <c r="J651" s="12">
        <v>0.1</v>
      </c>
      <c r="K651" s="9">
        <v>141.15</v>
      </c>
      <c r="L651" s="9">
        <v>27.36</v>
      </c>
      <c r="M651" s="9">
        <f t="shared" si="10"/>
        <v>15.682</v>
      </c>
    </row>
    <row r="652" spans="1:13" x14ac:dyDescent="0.3">
      <c r="A652" t="s">
        <v>946</v>
      </c>
      <c r="B652" s="1">
        <v>45855</v>
      </c>
      <c r="C652" t="s">
        <v>101</v>
      </c>
      <c r="D652" t="s">
        <v>14</v>
      </c>
      <c r="E652" t="s">
        <v>26</v>
      </c>
      <c r="F652" t="s">
        <v>27</v>
      </c>
      <c r="G652" t="s">
        <v>17</v>
      </c>
      <c r="H652">
        <v>3</v>
      </c>
      <c r="I652" s="12">
        <v>81.56</v>
      </c>
      <c r="J652" s="12">
        <v>0.1</v>
      </c>
      <c r="K652" s="9">
        <v>220.22</v>
      </c>
      <c r="L652" s="9">
        <v>42.37</v>
      </c>
      <c r="M652" s="9">
        <f t="shared" si="10"/>
        <v>24.468000000000004</v>
      </c>
    </row>
    <row r="653" spans="1:13" x14ac:dyDescent="0.3">
      <c r="A653" t="s">
        <v>947</v>
      </c>
      <c r="B653" s="1">
        <v>45856</v>
      </c>
      <c r="C653" t="s">
        <v>534</v>
      </c>
      <c r="D653" t="s">
        <v>14</v>
      </c>
      <c r="E653" t="s">
        <v>41</v>
      </c>
      <c r="F653" t="s">
        <v>42</v>
      </c>
      <c r="G653" t="s">
        <v>22</v>
      </c>
      <c r="H653">
        <v>3</v>
      </c>
      <c r="I653" s="12">
        <v>53.07</v>
      </c>
      <c r="J653" s="12">
        <v>0.05</v>
      </c>
      <c r="K653" s="9">
        <v>151.26</v>
      </c>
      <c r="L653" s="9">
        <v>10.88</v>
      </c>
      <c r="M653" s="9">
        <f t="shared" si="10"/>
        <v>7.9605000000000006</v>
      </c>
    </row>
    <row r="654" spans="1:13" x14ac:dyDescent="0.3">
      <c r="A654" t="s">
        <v>948</v>
      </c>
      <c r="B654" s="1">
        <v>45856</v>
      </c>
      <c r="C654" t="s">
        <v>193</v>
      </c>
      <c r="D654" t="s">
        <v>25</v>
      </c>
      <c r="E654" t="s">
        <v>65</v>
      </c>
      <c r="F654" t="s">
        <v>16</v>
      </c>
      <c r="G654" t="s">
        <v>32</v>
      </c>
      <c r="H654">
        <v>3</v>
      </c>
      <c r="I654" s="12">
        <v>16.920000000000002</v>
      </c>
      <c r="J654" s="12">
        <v>0</v>
      </c>
      <c r="K654" s="9">
        <v>50.77</v>
      </c>
      <c r="L654" s="9">
        <v>11.32</v>
      </c>
      <c r="M654" s="9">
        <f t="shared" si="10"/>
        <v>0</v>
      </c>
    </row>
    <row r="655" spans="1:13" x14ac:dyDescent="0.3">
      <c r="A655" t="s">
        <v>949</v>
      </c>
      <c r="B655" s="1">
        <v>45856</v>
      </c>
      <c r="C655" t="s">
        <v>412</v>
      </c>
      <c r="D655" t="s">
        <v>14</v>
      </c>
      <c r="E655" t="s">
        <v>37</v>
      </c>
      <c r="F655" t="s">
        <v>27</v>
      </c>
      <c r="G655" t="s">
        <v>32</v>
      </c>
      <c r="H655">
        <v>2</v>
      </c>
      <c r="I655" s="12">
        <v>203.64</v>
      </c>
      <c r="J655" s="12">
        <v>0</v>
      </c>
      <c r="K655" s="9">
        <v>407.27</v>
      </c>
      <c r="L655" s="9">
        <v>47.18</v>
      </c>
      <c r="M655" s="9">
        <f t="shared" si="10"/>
        <v>0</v>
      </c>
    </row>
    <row r="656" spans="1:13" x14ac:dyDescent="0.3">
      <c r="A656" t="s">
        <v>950</v>
      </c>
      <c r="B656" s="1">
        <v>45857</v>
      </c>
      <c r="C656" t="s">
        <v>514</v>
      </c>
      <c r="D656" t="s">
        <v>14</v>
      </c>
      <c r="E656" t="s">
        <v>26</v>
      </c>
      <c r="F656" t="s">
        <v>27</v>
      </c>
      <c r="G656" t="s">
        <v>22</v>
      </c>
      <c r="H656">
        <v>1</v>
      </c>
      <c r="I656" s="12">
        <v>78.3</v>
      </c>
      <c r="J656" s="12">
        <v>0.05</v>
      </c>
      <c r="K656" s="9">
        <v>74.38</v>
      </c>
      <c r="L656" s="9">
        <v>6.44</v>
      </c>
      <c r="M656" s="9">
        <f t="shared" si="10"/>
        <v>3.915</v>
      </c>
    </row>
    <row r="657" spans="1:13" x14ac:dyDescent="0.3">
      <c r="A657" t="s">
        <v>951</v>
      </c>
      <c r="B657" s="1">
        <v>45857</v>
      </c>
      <c r="C657" t="s">
        <v>690</v>
      </c>
      <c r="D657" t="s">
        <v>14</v>
      </c>
      <c r="E657" t="s">
        <v>65</v>
      </c>
      <c r="F657" t="s">
        <v>16</v>
      </c>
      <c r="G657" t="s">
        <v>17</v>
      </c>
      <c r="H657">
        <v>2</v>
      </c>
      <c r="I657" s="12">
        <v>17.61</v>
      </c>
      <c r="J657" s="12">
        <v>0.2</v>
      </c>
      <c r="K657" s="9">
        <v>28.17</v>
      </c>
      <c r="L657" s="9">
        <v>1.78</v>
      </c>
      <c r="M657" s="9">
        <f t="shared" si="10"/>
        <v>7.0440000000000005</v>
      </c>
    </row>
    <row r="658" spans="1:13" x14ac:dyDescent="0.3">
      <c r="A658" t="s">
        <v>952</v>
      </c>
      <c r="B658" s="1">
        <v>45858</v>
      </c>
      <c r="C658" t="s">
        <v>953</v>
      </c>
      <c r="D658" t="s">
        <v>25</v>
      </c>
      <c r="E658" t="s">
        <v>15</v>
      </c>
      <c r="F658" t="s">
        <v>16</v>
      </c>
      <c r="G658" t="s">
        <v>28</v>
      </c>
      <c r="H658">
        <v>1</v>
      </c>
      <c r="I658" s="12">
        <v>15.11</v>
      </c>
      <c r="J658" s="12">
        <v>0</v>
      </c>
      <c r="K658" s="9">
        <v>15.11</v>
      </c>
      <c r="L658" s="9">
        <v>4.13</v>
      </c>
      <c r="M658" s="9">
        <f t="shared" si="10"/>
        <v>0</v>
      </c>
    </row>
    <row r="659" spans="1:13" x14ac:dyDescent="0.3">
      <c r="A659" t="s">
        <v>954</v>
      </c>
      <c r="B659" s="1">
        <v>45858</v>
      </c>
      <c r="C659" t="s">
        <v>955</v>
      </c>
      <c r="D659" t="s">
        <v>40</v>
      </c>
      <c r="E659" t="s">
        <v>51</v>
      </c>
      <c r="F659" t="s">
        <v>27</v>
      </c>
      <c r="G659" t="s">
        <v>17</v>
      </c>
      <c r="H659">
        <v>1</v>
      </c>
      <c r="I659" s="12">
        <v>869.48</v>
      </c>
      <c r="J659" s="12">
        <v>0</v>
      </c>
      <c r="K659" s="9">
        <v>869.48</v>
      </c>
      <c r="L659" s="9">
        <v>233.11</v>
      </c>
      <c r="M659" s="9">
        <f t="shared" si="10"/>
        <v>0</v>
      </c>
    </row>
    <row r="660" spans="1:13" x14ac:dyDescent="0.3">
      <c r="A660" t="s">
        <v>956</v>
      </c>
      <c r="B660" s="1">
        <v>45858</v>
      </c>
      <c r="C660" t="s">
        <v>84</v>
      </c>
      <c r="D660" t="s">
        <v>40</v>
      </c>
      <c r="E660" t="s">
        <v>15</v>
      </c>
      <c r="F660" t="s">
        <v>16</v>
      </c>
      <c r="G660" t="s">
        <v>22</v>
      </c>
      <c r="H660">
        <v>3</v>
      </c>
      <c r="I660" s="12">
        <v>13.29</v>
      </c>
      <c r="J660" s="12">
        <v>0.05</v>
      </c>
      <c r="K660" s="9">
        <v>37.880000000000003</v>
      </c>
      <c r="L660" s="9">
        <v>8.7200000000000006</v>
      </c>
      <c r="M660" s="9">
        <f t="shared" si="10"/>
        <v>1.9935</v>
      </c>
    </row>
    <row r="661" spans="1:13" x14ac:dyDescent="0.3">
      <c r="A661" t="s">
        <v>957</v>
      </c>
      <c r="B661" s="1">
        <v>45859</v>
      </c>
      <c r="C661" t="s">
        <v>427</v>
      </c>
      <c r="D661" t="s">
        <v>14</v>
      </c>
      <c r="E661" t="s">
        <v>54</v>
      </c>
      <c r="F661" t="s">
        <v>27</v>
      </c>
      <c r="G661" t="s">
        <v>22</v>
      </c>
      <c r="H661">
        <v>3</v>
      </c>
      <c r="I661" s="12">
        <v>28.89</v>
      </c>
      <c r="J661" s="12">
        <v>0.2</v>
      </c>
      <c r="K661" s="9">
        <v>69.34</v>
      </c>
      <c r="L661" s="9">
        <v>3.95</v>
      </c>
      <c r="M661" s="9">
        <f t="shared" si="10"/>
        <v>17.334</v>
      </c>
    </row>
    <row r="662" spans="1:13" x14ac:dyDescent="0.3">
      <c r="A662" t="s">
        <v>958</v>
      </c>
      <c r="B662" s="1">
        <v>45859</v>
      </c>
      <c r="C662" t="s">
        <v>959</v>
      </c>
      <c r="D662" t="s">
        <v>25</v>
      </c>
      <c r="E662" t="s">
        <v>41</v>
      </c>
      <c r="F662" t="s">
        <v>42</v>
      </c>
      <c r="G662" t="s">
        <v>22</v>
      </c>
      <c r="H662">
        <v>3</v>
      </c>
      <c r="I662" s="12">
        <v>50.71</v>
      </c>
      <c r="J662" s="12">
        <v>0.1</v>
      </c>
      <c r="K662" s="9">
        <v>136.93</v>
      </c>
      <c r="L662" s="9">
        <v>16.18</v>
      </c>
      <c r="M662" s="9">
        <f t="shared" si="10"/>
        <v>15.213000000000001</v>
      </c>
    </row>
    <row r="663" spans="1:13" x14ac:dyDescent="0.3">
      <c r="A663" t="s">
        <v>960</v>
      </c>
      <c r="B663" s="1">
        <v>45860</v>
      </c>
      <c r="C663" t="s">
        <v>332</v>
      </c>
      <c r="D663" t="s">
        <v>40</v>
      </c>
      <c r="E663" t="s">
        <v>37</v>
      </c>
      <c r="F663" t="s">
        <v>27</v>
      </c>
      <c r="G663" t="s">
        <v>17</v>
      </c>
      <c r="H663">
        <v>2</v>
      </c>
      <c r="I663" s="12">
        <v>200.25</v>
      </c>
      <c r="J663" s="12">
        <v>0.05</v>
      </c>
      <c r="K663" s="9">
        <v>380.47</v>
      </c>
      <c r="L663" s="9">
        <v>60.86</v>
      </c>
      <c r="M663" s="9">
        <f t="shared" si="10"/>
        <v>20.025000000000002</v>
      </c>
    </row>
    <row r="664" spans="1:13" x14ac:dyDescent="0.3">
      <c r="A664" t="s">
        <v>961</v>
      </c>
      <c r="B664" s="1">
        <v>45860</v>
      </c>
      <c r="C664" t="s">
        <v>264</v>
      </c>
      <c r="D664" t="s">
        <v>14</v>
      </c>
      <c r="E664" t="s">
        <v>51</v>
      </c>
      <c r="F664" t="s">
        <v>27</v>
      </c>
      <c r="G664" t="s">
        <v>28</v>
      </c>
      <c r="H664">
        <v>1</v>
      </c>
      <c r="I664" s="12">
        <v>870.22</v>
      </c>
      <c r="J664" s="12">
        <v>0.1</v>
      </c>
      <c r="K664" s="9">
        <v>783.2</v>
      </c>
      <c r="L664" s="9">
        <v>72.680000000000007</v>
      </c>
      <c r="M664" s="9">
        <f t="shared" si="10"/>
        <v>87.022000000000006</v>
      </c>
    </row>
    <row r="665" spans="1:13" x14ac:dyDescent="0.3">
      <c r="A665" t="s">
        <v>962</v>
      </c>
      <c r="B665" s="1">
        <v>45861</v>
      </c>
      <c r="C665" t="s">
        <v>122</v>
      </c>
      <c r="D665" t="s">
        <v>25</v>
      </c>
      <c r="E665" t="s">
        <v>92</v>
      </c>
      <c r="F665" t="s">
        <v>16</v>
      </c>
      <c r="G665" t="s">
        <v>22</v>
      </c>
      <c r="H665">
        <v>2</v>
      </c>
      <c r="I665" s="12">
        <v>8.91</v>
      </c>
      <c r="J665" s="12">
        <v>0.2</v>
      </c>
      <c r="K665" s="9">
        <v>14.26</v>
      </c>
      <c r="L665" s="9">
        <v>1.75</v>
      </c>
      <c r="M665" s="9">
        <f t="shared" si="10"/>
        <v>3.5640000000000001</v>
      </c>
    </row>
    <row r="666" spans="1:13" x14ac:dyDescent="0.3">
      <c r="A666" t="s">
        <v>963</v>
      </c>
      <c r="B666" s="1">
        <v>45861</v>
      </c>
      <c r="C666" t="s">
        <v>48</v>
      </c>
      <c r="D666" t="s">
        <v>14</v>
      </c>
      <c r="E666" t="s">
        <v>56</v>
      </c>
      <c r="F666" t="s">
        <v>21</v>
      </c>
      <c r="G666" t="s">
        <v>28</v>
      </c>
      <c r="H666">
        <v>4</v>
      </c>
      <c r="I666" s="12">
        <v>355.54</v>
      </c>
      <c r="J666" s="12">
        <v>0.2</v>
      </c>
      <c r="K666" s="9">
        <v>1137.72</v>
      </c>
      <c r="L666" s="9">
        <v>228.52</v>
      </c>
      <c r="M666" s="9">
        <f t="shared" si="10"/>
        <v>284.43200000000002</v>
      </c>
    </row>
    <row r="667" spans="1:13" x14ac:dyDescent="0.3">
      <c r="A667" t="s">
        <v>964</v>
      </c>
      <c r="B667" s="1">
        <v>45861</v>
      </c>
      <c r="C667" t="s">
        <v>168</v>
      </c>
      <c r="D667" t="s">
        <v>14</v>
      </c>
      <c r="E667" t="s">
        <v>51</v>
      </c>
      <c r="F667" t="s">
        <v>27</v>
      </c>
      <c r="G667" t="s">
        <v>22</v>
      </c>
      <c r="H667">
        <v>4</v>
      </c>
      <c r="I667" s="12">
        <v>974.09</v>
      </c>
      <c r="J667" s="12">
        <v>0</v>
      </c>
      <c r="K667" s="9">
        <v>3896.35</v>
      </c>
      <c r="L667" s="9">
        <v>334.15</v>
      </c>
      <c r="M667" s="9">
        <f t="shared" si="10"/>
        <v>0</v>
      </c>
    </row>
    <row r="668" spans="1:13" x14ac:dyDescent="0.3">
      <c r="A668" t="s">
        <v>965</v>
      </c>
      <c r="B668" s="1">
        <v>45861</v>
      </c>
      <c r="C668" t="s">
        <v>966</v>
      </c>
      <c r="D668" t="s">
        <v>25</v>
      </c>
      <c r="E668" t="s">
        <v>41</v>
      </c>
      <c r="F668" t="s">
        <v>42</v>
      </c>
      <c r="G668" t="s">
        <v>32</v>
      </c>
      <c r="H668">
        <v>5</v>
      </c>
      <c r="I668" s="12">
        <v>59.77</v>
      </c>
      <c r="J668" s="12">
        <v>0</v>
      </c>
      <c r="K668" s="9">
        <v>298.83999999999997</v>
      </c>
      <c r="L668" s="9">
        <v>45.61</v>
      </c>
      <c r="M668" s="9">
        <f t="shared" si="10"/>
        <v>0</v>
      </c>
    </row>
    <row r="669" spans="1:13" x14ac:dyDescent="0.3">
      <c r="A669" t="s">
        <v>967</v>
      </c>
      <c r="B669" s="1">
        <v>45861</v>
      </c>
      <c r="C669" t="s">
        <v>550</v>
      </c>
      <c r="D669" t="s">
        <v>14</v>
      </c>
      <c r="E669" t="s">
        <v>51</v>
      </c>
      <c r="F669" t="s">
        <v>27</v>
      </c>
      <c r="G669" t="s">
        <v>22</v>
      </c>
      <c r="H669">
        <v>1</v>
      </c>
      <c r="I669" s="12">
        <v>996.14</v>
      </c>
      <c r="J669" s="12">
        <v>0.1</v>
      </c>
      <c r="K669" s="9">
        <v>896.52</v>
      </c>
      <c r="L669" s="9">
        <v>173.72</v>
      </c>
      <c r="M669" s="9">
        <f t="shared" si="10"/>
        <v>99.614000000000004</v>
      </c>
    </row>
    <row r="670" spans="1:13" x14ac:dyDescent="0.3">
      <c r="A670" t="s">
        <v>968</v>
      </c>
      <c r="B670" s="1">
        <v>45861</v>
      </c>
      <c r="C670" t="s">
        <v>969</v>
      </c>
      <c r="D670" t="s">
        <v>14</v>
      </c>
      <c r="E670" t="s">
        <v>65</v>
      </c>
      <c r="F670" t="s">
        <v>16</v>
      </c>
      <c r="G670" t="s">
        <v>17</v>
      </c>
      <c r="H670">
        <v>1</v>
      </c>
      <c r="I670" s="12">
        <v>18.36</v>
      </c>
      <c r="J670" s="12">
        <v>0.1</v>
      </c>
      <c r="K670" s="9">
        <v>16.52</v>
      </c>
      <c r="L670" s="9">
        <v>3.35</v>
      </c>
      <c r="M670" s="9">
        <f t="shared" si="10"/>
        <v>1.8360000000000001</v>
      </c>
    </row>
    <row r="671" spans="1:13" x14ac:dyDescent="0.3">
      <c r="A671" t="s">
        <v>970</v>
      </c>
      <c r="B671" s="1">
        <v>45862</v>
      </c>
      <c r="C671" t="s">
        <v>625</v>
      </c>
      <c r="D671" t="s">
        <v>14</v>
      </c>
      <c r="E671" t="s">
        <v>56</v>
      </c>
      <c r="F671" t="s">
        <v>21</v>
      </c>
      <c r="G671" t="s">
        <v>28</v>
      </c>
      <c r="H671">
        <v>2</v>
      </c>
      <c r="I671" s="12">
        <v>310.83</v>
      </c>
      <c r="J671" s="12">
        <v>0.1</v>
      </c>
      <c r="K671" s="9">
        <v>559.49</v>
      </c>
      <c r="L671" s="9">
        <v>45.01</v>
      </c>
      <c r="M671" s="9">
        <f t="shared" si="10"/>
        <v>62.165999999999997</v>
      </c>
    </row>
    <row r="672" spans="1:13" x14ac:dyDescent="0.3">
      <c r="A672" t="s">
        <v>971</v>
      </c>
      <c r="B672" s="1">
        <v>45862</v>
      </c>
      <c r="C672" t="s">
        <v>150</v>
      </c>
      <c r="D672" t="s">
        <v>14</v>
      </c>
      <c r="E672" t="s">
        <v>92</v>
      </c>
      <c r="F672" t="s">
        <v>16</v>
      </c>
      <c r="G672" t="s">
        <v>17</v>
      </c>
      <c r="H672">
        <v>3</v>
      </c>
      <c r="I672" s="12">
        <v>9.2799999999999994</v>
      </c>
      <c r="J672" s="12">
        <v>0.15</v>
      </c>
      <c r="K672" s="9">
        <v>23.66</v>
      </c>
      <c r="L672" s="9">
        <v>3.7</v>
      </c>
      <c r="M672" s="9">
        <f t="shared" si="10"/>
        <v>4.1759999999999993</v>
      </c>
    </row>
    <row r="673" spans="1:13" x14ac:dyDescent="0.3">
      <c r="A673" t="s">
        <v>972</v>
      </c>
      <c r="B673" s="1">
        <v>45863</v>
      </c>
      <c r="C673" t="s">
        <v>973</v>
      </c>
      <c r="D673" t="s">
        <v>25</v>
      </c>
      <c r="E673" t="s">
        <v>37</v>
      </c>
      <c r="F673" t="s">
        <v>27</v>
      </c>
      <c r="G673" t="s">
        <v>17</v>
      </c>
      <c r="H673">
        <v>2</v>
      </c>
      <c r="I673" s="12">
        <v>195.98</v>
      </c>
      <c r="J673" s="12">
        <v>0</v>
      </c>
      <c r="K673" s="9">
        <v>391.96</v>
      </c>
      <c r="L673" s="9">
        <v>57.44</v>
      </c>
      <c r="M673" s="9">
        <f t="shared" si="10"/>
        <v>0</v>
      </c>
    </row>
    <row r="674" spans="1:13" x14ac:dyDescent="0.3">
      <c r="A674" t="s">
        <v>974</v>
      </c>
      <c r="B674" s="1">
        <v>45863</v>
      </c>
      <c r="C674" t="s">
        <v>128</v>
      </c>
      <c r="D674" t="s">
        <v>14</v>
      </c>
      <c r="E674" t="s">
        <v>51</v>
      </c>
      <c r="F674" t="s">
        <v>27</v>
      </c>
      <c r="G674" t="s">
        <v>32</v>
      </c>
      <c r="H674">
        <v>1</v>
      </c>
      <c r="I674" s="12">
        <v>874.72</v>
      </c>
      <c r="J674" s="12">
        <v>0</v>
      </c>
      <c r="K674" s="9">
        <v>874.72</v>
      </c>
      <c r="L674" s="9">
        <v>212.19</v>
      </c>
      <c r="M674" s="9">
        <f t="shared" si="10"/>
        <v>0</v>
      </c>
    </row>
    <row r="675" spans="1:13" x14ac:dyDescent="0.3">
      <c r="A675" t="s">
        <v>975</v>
      </c>
      <c r="B675" s="1">
        <v>45864</v>
      </c>
      <c r="C675" t="s">
        <v>442</v>
      </c>
      <c r="D675" t="s">
        <v>14</v>
      </c>
      <c r="E675" t="s">
        <v>41</v>
      </c>
      <c r="F675" t="s">
        <v>42</v>
      </c>
      <c r="G675" t="s">
        <v>17</v>
      </c>
      <c r="H675">
        <v>2</v>
      </c>
      <c r="I675" s="12">
        <v>52.61</v>
      </c>
      <c r="J675" s="12">
        <v>0.05</v>
      </c>
      <c r="K675" s="9">
        <v>99.96</v>
      </c>
      <c r="L675" s="9">
        <v>7.26</v>
      </c>
      <c r="M675" s="9">
        <f t="shared" si="10"/>
        <v>5.2610000000000001</v>
      </c>
    </row>
    <row r="676" spans="1:13" x14ac:dyDescent="0.3">
      <c r="A676" t="s">
        <v>976</v>
      </c>
      <c r="B676" s="1">
        <v>45864</v>
      </c>
      <c r="C676" t="s">
        <v>711</v>
      </c>
      <c r="D676" t="s">
        <v>25</v>
      </c>
      <c r="E676" t="s">
        <v>92</v>
      </c>
      <c r="F676" t="s">
        <v>16</v>
      </c>
      <c r="G676" t="s">
        <v>17</v>
      </c>
      <c r="H676">
        <v>2</v>
      </c>
      <c r="I676" s="12">
        <v>9.77</v>
      </c>
      <c r="J676" s="12">
        <v>0.15</v>
      </c>
      <c r="K676" s="9">
        <v>16.61</v>
      </c>
      <c r="L676" s="9">
        <v>1.5</v>
      </c>
      <c r="M676" s="9">
        <f t="shared" si="10"/>
        <v>2.9309999999999996</v>
      </c>
    </row>
    <row r="677" spans="1:13" x14ac:dyDescent="0.3">
      <c r="A677" t="s">
        <v>977</v>
      </c>
      <c r="B677" s="1">
        <v>45864</v>
      </c>
      <c r="C677" t="s">
        <v>287</v>
      </c>
      <c r="D677" t="s">
        <v>40</v>
      </c>
      <c r="E677" t="s">
        <v>31</v>
      </c>
      <c r="F677" t="s">
        <v>21</v>
      </c>
      <c r="G677" t="s">
        <v>32</v>
      </c>
      <c r="H677">
        <v>3</v>
      </c>
      <c r="I677" s="12">
        <v>41.98</v>
      </c>
      <c r="J677" s="12">
        <v>0</v>
      </c>
      <c r="K677" s="9">
        <v>125.95</v>
      </c>
      <c r="L677" s="9">
        <v>27.44</v>
      </c>
      <c r="M677" s="9">
        <f t="shared" si="10"/>
        <v>0</v>
      </c>
    </row>
    <row r="678" spans="1:13" x14ac:dyDescent="0.3">
      <c r="A678" t="s">
        <v>978</v>
      </c>
      <c r="B678" s="1">
        <v>45864</v>
      </c>
      <c r="C678" t="s">
        <v>126</v>
      </c>
      <c r="D678" t="s">
        <v>40</v>
      </c>
      <c r="E678" t="s">
        <v>110</v>
      </c>
      <c r="F678" t="s">
        <v>42</v>
      </c>
      <c r="G678" t="s">
        <v>22</v>
      </c>
      <c r="H678">
        <v>1</v>
      </c>
      <c r="I678" s="12">
        <v>23.36</v>
      </c>
      <c r="J678" s="12">
        <v>0</v>
      </c>
      <c r="K678" s="9">
        <v>23.36</v>
      </c>
      <c r="L678" s="9">
        <v>3.08</v>
      </c>
      <c r="M678" s="9">
        <f t="shared" si="10"/>
        <v>0</v>
      </c>
    </row>
    <row r="679" spans="1:13" x14ac:dyDescent="0.3">
      <c r="A679" t="s">
        <v>979</v>
      </c>
      <c r="B679" s="1">
        <v>45865</v>
      </c>
      <c r="C679" t="s">
        <v>299</v>
      </c>
      <c r="D679" t="s">
        <v>14</v>
      </c>
      <c r="E679" t="s">
        <v>51</v>
      </c>
      <c r="F679" t="s">
        <v>27</v>
      </c>
      <c r="G679" t="s">
        <v>17</v>
      </c>
      <c r="H679">
        <v>2</v>
      </c>
      <c r="I679" s="12">
        <v>944.95</v>
      </c>
      <c r="J679" s="12">
        <v>0</v>
      </c>
      <c r="K679" s="9">
        <v>1889.91</v>
      </c>
      <c r="L679" s="9">
        <v>382.96</v>
      </c>
      <c r="M679" s="9">
        <f t="shared" si="10"/>
        <v>0</v>
      </c>
    </row>
    <row r="680" spans="1:13" x14ac:dyDescent="0.3">
      <c r="A680" t="s">
        <v>980</v>
      </c>
      <c r="B680" s="1">
        <v>45865</v>
      </c>
      <c r="C680" t="s">
        <v>70</v>
      </c>
      <c r="D680" t="s">
        <v>40</v>
      </c>
      <c r="E680" t="s">
        <v>20</v>
      </c>
      <c r="F680" t="s">
        <v>21</v>
      </c>
      <c r="G680" t="s">
        <v>28</v>
      </c>
      <c r="H680">
        <v>2</v>
      </c>
      <c r="I680" s="12">
        <v>189.24</v>
      </c>
      <c r="J680" s="12">
        <v>0.2</v>
      </c>
      <c r="K680" s="9">
        <v>302.79000000000002</v>
      </c>
      <c r="L680" s="9">
        <v>35.5</v>
      </c>
      <c r="M680" s="9">
        <f t="shared" si="10"/>
        <v>75.696000000000012</v>
      </c>
    </row>
    <row r="681" spans="1:13" x14ac:dyDescent="0.3">
      <c r="A681" t="s">
        <v>981</v>
      </c>
      <c r="B681" s="1">
        <v>45865</v>
      </c>
      <c r="C681" t="s">
        <v>209</v>
      </c>
      <c r="D681" t="s">
        <v>14</v>
      </c>
      <c r="E681" t="s">
        <v>15</v>
      </c>
      <c r="F681" t="s">
        <v>16</v>
      </c>
      <c r="G681" t="s">
        <v>17</v>
      </c>
      <c r="H681">
        <v>2</v>
      </c>
      <c r="I681" s="12">
        <v>15.3</v>
      </c>
      <c r="J681" s="12">
        <v>0.2</v>
      </c>
      <c r="K681" s="9">
        <v>24.49</v>
      </c>
      <c r="L681" s="9">
        <v>3.07</v>
      </c>
      <c r="M681" s="9">
        <f t="shared" si="10"/>
        <v>6.120000000000001</v>
      </c>
    </row>
    <row r="682" spans="1:13" x14ac:dyDescent="0.3">
      <c r="A682" t="s">
        <v>982</v>
      </c>
      <c r="B682" s="1">
        <v>45865</v>
      </c>
      <c r="C682" t="s">
        <v>500</v>
      </c>
      <c r="D682" t="s">
        <v>25</v>
      </c>
      <c r="E682" t="s">
        <v>37</v>
      </c>
      <c r="F682" t="s">
        <v>27</v>
      </c>
      <c r="G682" t="s">
        <v>22</v>
      </c>
      <c r="H682">
        <v>2</v>
      </c>
      <c r="I682" s="12">
        <v>192.49</v>
      </c>
      <c r="J682" s="12">
        <v>0.15</v>
      </c>
      <c r="K682" s="9">
        <v>327.23</v>
      </c>
      <c r="L682" s="9">
        <v>28.07</v>
      </c>
      <c r="M682" s="9">
        <f t="shared" si="10"/>
        <v>57.747</v>
      </c>
    </row>
    <row r="683" spans="1:13" x14ac:dyDescent="0.3">
      <c r="A683" t="s">
        <v>983</v>
      </c>
      <c r="B683" s="1">
        <v>45866</v>
      </c>
      <c r="C683" t="s">
        <v>30</v>
      </c>
      <c r="D683" t="s">
        <v>25</v>
      </c>
      <c r="E683" t="s">
        <v>31</v>
      </c>
      <c r="F683" t="s">
        <v>21</v>
      </c>
      <c r="G683" t="s">
        <v>17</v>
      </c>
      <c r="H683">
        <v>1</v>
      </c>
      <c r="I683" s="12">
        <v>41.04</v>
      </c>
      <c r="J683" s="12">
        <v>0.2</v>
      </c>
      <c r="K683" s="9">
        <v>32.83</v>
      </c>
      <c r="L683" s="9">
        <v>3.02</v>
      </c>
      <c r="M683" s="9">
        <f t="shared" si="10"/>
        <v>8.2080000000000002</v>
      </c>
    </row>
    <row r="684" spans="1:13" x14ac:dyDescent="0.3">
      <c r="A684" t="s">
        <v>984</v>
      </c>
      <c r="B684" s="1">
        <v>45866</v>
      </c>
      <c r="C684" t="s">
        <v>718</v>
      </c>
      <c r="D684" t="s">
        <v>14</v>
      </c>
      <c r="E684" t="s">
        <v>51</v>
      </c>
      <c r="F684" t="s">
        <v>27</v>
      </c>
      <c r="G684" t="s">
        <v>17</v>
      </c>
      <c r="H684">
        <v>2</v>
      </c>
      <c r="I684" s="12">
        <v>1005.38</v>
      </c>
      <c r="J684" s="12">
        <v>0.1</v>
      </c>
      <c r="K684" s="9">
        <v>1809.68</v>
      </c>
      <c r="L684" s="9">
        <v>321.8</v>
      </c>
      <c r="M684" s="9">
        <f t="shared" si="10"/>
        <v>201.07600000000002</v>
      </c>
    </row>
    <row r="685" spans="1:13" x14ac:dyDescent="0.3">
      <c r="A685" t="s">
        <v>985</v>
      </c>
      <c r="B685" s="1">
        <v>45867</v>
      </c>
      <c r="C685" t="s">
        <v>523</v>
      </c>
      <c r="D685" t="s">
        <v>14</v>
      </c>
      <c r="E685" t="s">
        <v>41</v>
      </c>
      <c r="F685" t="s">
        <v>42</v>
      </c>
      <c r="G685" t="s">
        <v>32</v>
      </c>
      <c r="H685">
        <v>1</v>
      </c>
      <c r="I685" s="12">
        <v>60</v>
      </c>
      <c r="J685" s="12">
        <v>0.05</v>
      </c>
      <c r="K685" s="9">
        <v>57</v>
      </c>
      <c r="L685" s="9">
        <v>5.05</v>
      </c>
      <c r="M685" s="9">
        <f t="shared" si="10"/>
        <v>3</v>
      </c>
    </row>
    <row r="686" spans="1:13" x14ac:dyDescent="0.3">
      <c r="A686" t="s">
        <v>986</v>
      </c>
      <c r="B686" s="1">
        <v>45868</v>
      </c>
      <c r="C686" t="s">
        <v>613</v>
      </c>
      <c r="D686" t="s">
        <v>25</v>
      </c>
      <c r="E686" t="s">
        <v>41</v>
      </c>
      <c r="F686" t="s">
        <v>42</v>
      </c>
      <c r="G686" t="s">
        <v>17</v>
      </c>
      <c r="H686">
        <v>2</v>
      </c>
      <c r="I686" s="12">
        <v>54.49</v>
      </c>
      <c r="J686" s="12">
        <v>0</v>
      </c>
      <c r="K686" s="9">
        <v>108.99</v>
      </c>
      <c r="L686" s="9">
        <v>25.34</v>
      </c>
      <c r="M686" s="9">
        <f t="shared" si="10"/>
        <v>0</v>
      </c>
    </row>
    <row r="687" spans="1:13" x14ac:dyDescent="0.3">
      <c r="A687" t="s">
        <v>987</v>
      </c>
      <c r="B687" s="1">
        <v>45868</v>
      </c>
      <c r="C687" t="s">
        <v>122</v>
      </c>
      <c r="D687" t="s">
        <v>40</v>
      </c>
      <c r="E687" t="s">
        <v>56</v>
      </c>
      <c r="F687" t="s">
        <v>21</v>
      </c>
      <c r="G687" t="s">
        <v>17</v>
      </c>
      <c r="H687">
        <v>1</v>
      </c>
      <c r="I687" s="12">
        <v>302.92</v>
      </c>
      <c r="J687" s="12">
        <v>0</v>
      </c>
      <c r="K687" s="9">
        <v>302.92</v>
      </c>
      <c r="L687" s="9">
        <v>82.49</v>
      </c>
      <c r="M687" s="9">
        <f t="shared" si="10"/>
        <v>0</v>
      </c>
    </row>
    <row r="688" spans="1:13" x14ac:dyDescent="0.3">
      <c r="A688" t="s">
        <v>988</v>
      </c>
      <c r="B688" s="1">
        <v>45868</v>
      </c>
      <c r="C688" t="s">
        <v>74</v>
      </c>
      <c r="D688" t="s">
        <v>14</v>
      </c>
      <c r="E688" t="s">
        <v>51</v>
      </c>
      <c r="F688" t="s">
        <v>27</v>
      </c>
      <c r="G688" t="s">
        <v>17</v>
      </c>
      <c r="H688">
        <v>3</v>
      </c>
      <c r="I688" s="12">
        <v>913.91</v>
      </c>
      <c r="J688" s="12">
        <v>0.05</v>
      </c>
      <c r="K688" s="9">
        <v>2604.63</v>
      </c>
      <c r="L688" s="9">
        <v>594.87</v>
      </c>
      <c r="M688" s="9">
        <f t="shared" si="10"/>
        <v>137.0865</v>
      </c>
    </row>
    <row r="689" spans="1:13" x14ac:dyDescent="0.3">
      <c r="A689" t="s">
        <v>989</v>
      </c>
      <c r="B689" s="1">
        <v>45869</v>
      </c>
      <c r="C689" t="s">
        <v>990</v>
      </c>
      <c r="D689" t="s">
        <v>40</v>
      </c>
      <c r="E689" t="s">
        <v>92</v>
      </c>
      <c r="F689" t="s">
        <v>16</v>
      </c>
      <c r="G689" t="s">
        <v>22</v>
      </c>
      <c r="H689">
        <v>1</v>
      </c>
      <c r="I689" s="12">
        <v>9.1199999999999992</v>
      </c>
      <c r="J689" s="12">
        <v>0.15</v>
      </c>
      <c r="K689" s="9">
        <v>7.75</v>
      </c>
      <c r="L689" s="9">
        <v>0.88</v>
      </c>
      <c r="M689" s="9">
        <f t="shared" si="10"/>
        <v>1.3679999999999999</v>
      </c>
    </row>
    <row r="690" spans="1:13" x14ac:dyDescent="0.3">
      <c r="A690" t="s">
        <v>991</v>
      </c>
      <c r="B690" s="1">
        <v>45869</v>
      </c>
      <c r="C690" t="s">
        <v>887</v>
      </c>
      <c r="D690" t="s">
        <v>40</v>
      </c>
      <c r="E690" t="s">
        <v>26</v>
      </c>
      <c r="F690" t="s">
        <v>27</v>
      </c>
      <c r="G690" t="s">
        <v>28</v>
      </c>
      <c r="H690">
        <v>3</v>
      </c>
      <c r="I690" s="12">
        <v>77.489999999999995</v>
      </c>
      <c r="J690" s="12">
        <v>0.05</v>
      </c>
      <c r="K690" s="9">
        <v>220.86</v>
      </c>
      <c r="L690" s="9">
        <v>59.32</v>
      </c>
      <c r="M690" s="9">
        <f t="shared" si="10"/>
        <v>11.6235</v>
      </c>
    </row>
    <row r="691" spans="1:13" x14ac:dyDescent="0.3">
      <c r="A691" t="s">
        <v>992</v>
      </c>
      <c r="B691" s="1">
        <v>45870</v>
      </c>
      <c r="C691" t="s">
        <v>416</v>
      </c>
      <c r="D691" t="s">
        <v>25</v>
      </c>
      <c r="E691" t="s">
        <v>20</v>
      </c>
      <c r="F691" t="s">
        <v>21</v>
      </c>
      <c r="G691" t="s">
        <v>28</v>
      </c>
      <c r="H691">
        <v>1</v>
      </c>
      <c r="I691" s="12">
        <v>188.98</v>
      </c>
      <c r="J691" s="12">
        <v>0</v>
      </c>
      <c r="K691" s="9">
        <v>188.98</v>
      </c>
      <c r="L691" s="9">
        <v>31.41</v>
      </c>
      <c r="M691" s="9">
        <f t="shared" si="10"/>
        <v>0</v>
      </c>
    </row>
    <row r="692" spans="1:13" x14ac:dyDescent="0.3">
      <c r="A692" t="s">
        <v>993</v>
      </c>
      <c r="B692" s="1">
        <v>45870</v>
      </c>
      <c r="C692" t="s">
        <v>359</v>
      </c>
      <c r="D692" t="s">
        <v>14</v>
      </c>
      <c r="E692" t="s">
        <v>51</v>
      </c>
      <c r="F692" t="s">
        <v>27</v>
      </c>
      <c r="G692" t="s">
        <v>17</v>
      </c>
      <c r="H692">
        <v>3</v>
      </c>
      <c r="I692" s="12">
        <v>940.25</v>
      </c>
      <c r="J692" s="12">
        <v>0.05</v>
      </c>
      <c r="K692" s="9">
        <v>2679.72</v>
      </c>
      <c r="L692" s="9">
        <v>314.08999999999997</v>
      </c>
      <c r="M692" s="9">
        <f t="shared" si="10"/>
        <v>141.03749999999999</v>
      </c>
    </row>
    <row r="693" spans="1:13" x14ac:dyDescent="0.3">
      <c r="A693" t="s">
        <v>994</v>
      </c>
      <c r="B693" s="1">
        <v>45871</v>
      </c>
      <c r="C693" t="s">
        <v>732</v>
      </c>
      <c r="D693" t="s">
        <v>25</v>
      </c>
      <c r="E693" t="s">
        <v>15</v>
      </c>
      <c r="F693" t="s">
        <v>16</v>
      </c>
      <c r="G693" t="s">
        <v>22</v>
      </c>
      <c r="H693">
        <v>2</v>
      </c>
      <c r="I693" s="12">
        <v>12.63</v>
      </c>
      <c r="J693" s="12">
        <v>0</v>
      </c>
      <c r="K693" s="9">
        <v>25.26</v>
      </c>
      <c r="L693" s="9">
        <v>6.2</v>
      </c>
      <c r="M693" s="9">
        <f t="shared" si="10"/>
        <v>0</v>
      </c>
    </row>
    <row r="694" spans="1:13" x14ac:dyDescent="0.3">
      <c r="A694" t="s">
        <v>995</v>
      </c>
      <c r="B694" s="1">
        <v>45871</v>
      </c>
      <c r="C694" t="s">
        <v>520</v>
      </c>
      <c r="D694" t="s">
        <v>14</v>
      </c>
      <c r="E694" t="s">
        <v>110</v>
      </c>
      <c r="F694" t="s">
        <v>42</v>
      </c>
      <c r="G694" t="s">
        <v>17</v>
      </c>
      <c r="H694">
        <v>1</v>
      </c>
      <c r="I694" s="12">
        <v>21.93</v>
      </c>
      <c r="J694" s="12">
        <v>0</v>
      </c>
      <c r="K694" s="9">
        <v>21.93</v>
      </c>
      <c r="L694" s="9">
        <v>5.03</v>
      </c>
      <c r="M694" s="9">
        <f t="shared" si="10"/>
        <v>0</v>
      </c>
    </row>
    <row r="695" spans="1:13" x14ac:dyDescent="0.3">
      <c r="A695" t="s">
        <v>996</v>
      </c>
      <c r="B695" s="1">
        <v>45871</v>
      </c>
      <c r="C695" t="s">
        <v>563</v>
      </c>
      <c r="D695" t="s">
        <v>40</v>
      </c>
      <c r="E695" t="s">
        <v>56</v>
      </c>
      <c r="F695" t="s">
        <v>21</v>
      </c>
      <c r="G695" t="s">
        <v>28</v>
      </c>
      <c r="H695">
        <v>2</v>
      </c>
      <c r="I695" s="12">
        <v>359.07</v>
      </c>
      <c r="J695" s="12">
        <v>0</v>
      </c>
      <c r="K695" s="9">
        <v>718.14</v>
      </c>
      <c r="L695" s="9">
        <v>69.33</v>
      </c>
      <c r="M695" s="9">
        <f t="shared" si="10"/>
        <v>0</v>
      </c>
    </row>
    <row r="696" spans="1:13" x14ac:dyDescent="0.3">
      <c r="A696" t="s">
        <v>997</v>
      </c>
      <c r="B696" s="1">
        <v>45871</v>
      </c>
      <c r="C696" t="s">
        <v>998</v>
      </c>
      <c r="D696" t="s">
        <v>25</v>
      </c>
      <c r="E696" t="s">
        <v>51</v>
      </c>
      <c r="F696" t="s">
        <v>27</v>
      </c>
      <c r="G696" t="s">
        <v>32</v>
      </c>
      <c r="H696">
        <v>2</v>
      </c>
      <c r="I696" s="12">
        <v>959.45</v>
      </c>
      <c r="J696" s="12">
        <v>0</v>
      </c>
      <c r="K696" s="9">
        <v>1918.89</v>
      </c>
      <c r="L696" s="9">
        <v>313.61</v>
      </c>
      <c r="M696" s="9">
        <f t="shared" si="10"/>
        <v>0</v>
      </c>
    </row>
    <row r="697" spans="1:13" x14ac:dyDescent="0.3">
      <c r="A697" t="s">
        <v>999</v>
      </c>
      <c r="B697" s="1">
        <v>45871</v>
      </c>
      <c r="C697" t="s">
        <v>511</v>
      </c>
      <c r="D697" t="s">
        <v>40</v>
      </c>
      <c r="E697" t="s">
        <v>41</v>
      </c>
      <c r="F697" t="s">
        <v>42</v>
      </c>
      <c r="G697" t="s">
        <v>17</v>
      </c>
      <c r="H697">
        <v>2</v>
      </c>
      <c r="I697" s="12">
        <v>57.46</v>
      </c>
      <c r="J697" s="12">
        <v>0</v>
      </c>
      <c r="K697" s="9">
        <v>114.92</v>
      </c>
      <c r="L697" s="9">
        <v>27.72</v>
      </c>
      <c r="M697" s="9">
        <f t="shared" si="10"/>
        <v>0</v>
      </c>
    </row>
    <row r="698" spans="1:13" x14ac:dyDescent="0.3">
      <c r="A698" t="s">
        <v>1000</v>
      </c>
      <c r="B698" s="1">
        <v>45871</v>
      </c>
      <c r="C698" t="s">
        <v>374</v>
      </c>
      <c r="D698" t="s">
        <v>25</v>
      </c>
      <c r="E698" t="s">
        <v>15</v>
      </c>
      <c r="F698" t="s">
        <v>16</v>
      </c>
      <c r="G698" t="s">
        <v>32</v>
      </c>
      <c r="H698">
        <v>2</v>
      </c>
      <c r="I698" s="12">
        <v>12.9</v>
      </c>
      <c r="J698" s="12">
        <v>0.15</v>
      </c>
      <c r="K698" s="9">
        <v>21.92</v>
      </c>
      <c r="L698" s="9">
        <v>5.37</v>
      </c>
      <c r="M698" s="9">
        <f t="shared" si="10"/>
        <v>3.87</v>
      </c>
    </row>
    <row r="699" spans="1:13" x14ac:dyDescent="0.3">
      <c r="A699" t="s">
        <v>1001</v>
      </c>
      <c r="B699" s="1">
        <v>45871</v>
      </c>
      <c r="C699" t="s">
        <v>855</v>
      </c>
      <c r="D699" t="s">
        <v>14</v>
      </c>
      <c r="E699" t="s">
        <v>56</v>
      </c>
      <c r="F699" t="s">
        <v>21</v>
      </c>
      <c r="G699" t="s">
        <v>32</v>
      </c>
      <c r="H699">
        <v>4</v>
      </c>
      <c r="I699" s="12">
        <v>339.92</v>
      </c>
      <c r="J699" s="12">
        <v>0</v>
      </c>
      <c r="K699" s="9">
        <v>1359.68</v>
      </c>
      <c r="L699" s="9">
        <v>198.24</v>
      </c>
      <c r="M699" s="9">
        <f t="shared" si="10"/>
        <v>0</v>
      </c>
    </row>
    <row r="700" spans="1:13" x14ac:dyDescent="0.3">
      <c r="A700" t="s">
        <v>1002</v>
      </c>
      <c r="B700" s="1">
        <v>45871</v>
      </c>
      <c r="C700" t="s">
        <v>1003</v>
      </c>
      <c r="D700" t="s">
        <v>25</v>
      </c>
      <c r="E700" t="s">
        <v>51</v>
      </c>
      <c r="F700" t="s">
        <v>27</v>
      </c>
      <c r="G700" t="s">
        <v>22</v>
      </c>
      <c r="H700">
        <v>2</v>
      </c>
      <c r="I700" s="12">
        <v>960.38</v>
      </c>
      <c r="J700" s="12">
        <v>0.15</v>
      </c>
      <c r="K700" s="9">
        <v>1632.65</v>
      </c>
      <c r="L700" s="9">
        <v>282.57</v>
      </c>
      <c r="M700" s="9">
        <f t="shared" si="10"/>
        <v>288.11399999999998</v>
      </c>
    </row>
    <row r="701" spans="1:13" x14ac:dyDescent="0.3">
      <c r="A701" t="s">
        <v>1004</v>
      </c>
      <c r="B701" s="1">
        <v>45872</v>
      </c>
      <c r="C701" t="s">
        <v>348</v>
      </c>
      <c r="D701" t="s">
        <v>14</v>
      </c>
      <c r="E701" t="s">
        <v>56</v>
      </c>
      <c r="F701" t="s">
        <v>21</v>
      </c>
      <c r="G701" t="s">
        <v>32</v>
      </c>
      <c r="H701">
        <v>2</v>
      </c>
      <c r="I701" s="12">
        <v>306.73</v>
      </c>
      <c r="J701" s="12">
        <v>0</v>
      </c>
      <c r="K701" s="9">
        <v>613.46</v>
      </c>
      <c r="L701" s="9">
        <v>58.06</v>
      </c>
      <c r="M701" s="9">
        <f t="shared" si="10"/>
        <v>0</v>
      </c>
    </row>
    <row r="702" spans="1:13" x14ac:dyDescent="0.3">
      <c r="A702" t="s">
        <v>1005</v>
      </c>
      <c r="B702" s="1">
        <v>45872</v>
      </c>
      <c r="C702" t="s">
        <v>1006</v>
      </c>
      <c r="D702" t="s">
        <v>40</v>
      </c>
      <c r="E702" t="s">
        <v>20</v>
      </c>
      <c r="F702" t="s">
        <v>21</v>
      </c>
      <c r="G702" t="s">
        <v>28</v>
      </c>
      <c r="H702">
        <v>1</v>
      </c>
      <c r="I702" s="12">
        <v>164.88</v>
      </c>
      <c r="J702" s="12">
        <v>0.1</v>
      </c>
      <c r="K702" s="9">
        <v>148.4</v>
      </c>
      <c r="L702" s="9">
        <v>22.4</v>
      </c>
      <c r="M702" s="9">
        <f t="shared" si="10"/>
        <v>16.488</v>
      </c>
    </row>
    <row r="703" spans="1:13" x14ac:dyDescent="0.3">
      <c r="A703" t="s">
        <v>1007</v>
      </c>
      <c r="B703" s="1">
        <v>45872</v>
      </c>
      <c r="C703" t="s">
        <v>46</v>
      </c>
      <c r="D703" t="s">
        <v>14</v>
      </c>
      <c r="E703" t="s">
        <v>15</v>
      </c>
      <c r="F703" t="s">
        <v>16</v>
      </c>
      <c r="G703" t="s">
        <v>28</v>
      </c>
      <c r="H703">
        <v>1</v>
      </c>
      <c r="I703" s="12">
        <v>14.54</v>
      </c>
      <c r="J703" s="12">
        <v>0</v>
      </c>
      <c r="K703" s="9">
        <v>14.54</v>
      </c>
      <c r="L703" s="9">
        <v>2.92</v>
      </c>
      <c r="M703" s="9">
        <f t="shared" si="10"/>
        <v>0</v>
      </c>
    </row>
    <row r="704" spans="1:13" x14ac:dyDescent="0.3">
      <c r="A704" t="s">
        <v>1008</v>
      </c>
      <c r="B704" s="1">
        <v>45872</v>
      </c>
      <c r="C704" t="s">
        <v>306</v>
      </c>
      <c r="D704" t="s">
        <v>40</v>
      </c>
      <c r="E704" t="s">
        <v>41</v>
      </c>
      <c r="F704" t="s">
        <v>42</v>
      </c>
      <c r="G704" t="s">
        <v>22</v>
      </c>
      <c r="H704">
        <v>3</v>
      </c>
      <c r="I704" s="12">
        <v>50.16</v>
      </c>
      <c r="J704" s="12">
        <v>0.05</v>
      </c>
      <c r="K704" s="9">
        <v>142.96</v>
      </c>
      <c r="L704" s="9">
        <v>25.42</v>
      </c>
      <c r="M704" s="9">
        <f t="shared" si="10"/>
        <v>7.524</v>
      </c>
    </row>
    <row r="705" spans="1:13" x14ac:dyDescent="0.3">
      <c r="A705" t="s">
        <v>1009</v>
      </c>
      <c r="B705" s="1">
        <v>45873</v>
      </c>
      <c r="C705" t="s">
        <v>290</v>
      </c>
      <c r="D705" t="s">
        <v>40</v>
      </c>
      <c r="E705" t="s">
        <v>51</v>
      </c>
      <c r="F705" t="s">
        <v>27</v>
      </c>
      <c r="G705" t="s">
        <v>32</v>
      </c>
      <c r="H705">
        <v>1</v>
      </c>
      <c r="I705" s="12">
        <v>943.24</v>
      </c>
      <c r="J705" s="12">
        <v>0.15</v>
      </c>
      <c r="K705" s="9">
        <v>801.76</v>
      </c>
      <c r="L705" s="9">
        <v>62.01</v>
      </c>
      <c r="M705" s="9">
        <f t="shared" si="10"/>
        <v>141.48599999999999</v>
      </c>
    </row>
    <row r="706" spans="1:13" x14ac:dyDescent="0.3">
      <c r="A706" t="s">
        <v>1010</v>
      </c>
      <c r="B706" s="1">
        <v>45873</v>
      </c>
      <c r="C706" t="s">
        <v>271</v>
      </c>
      <c r="D706" t="s">
        <v>40</v>
      </c>
      <c r="E706" t="s">
        <v>92</v>
      </c>
      <c r="F706" t="s">
        <v>16</v>
      </c>
      <c r="G706" t="s">
        <v>17</v>
      </c>
      <c r="H706">
        <v>4</v>
      </c>
      <c r="I706" s="12">
        <v>8.43</v>
      </c>
      <c r="J706" s="12">
        <v>0.15</v>
      </c>
      <c r="K706" s="9">
        <v>28.66</v>
      </c>
      <c r="L706" s="9">
        <v>6.89</v>
      </c>
      <c r="M706" s="9">
        <f t="shared" si="10"/>
        <v>5.0579999999999998</v>
      </c>
    </row>
    <row r="707" spans="1:13" x14ac:dyDescent="0.3">
      <c r="A707" t="s">
        <v>1011</v>
      </c>
      <c r="B707" s="1">
        <v>45873</v>
      </c>
      <c r="C707" t="s">
        <v>364</v>
      </c>
      <c r="D707" t="s">
        <v>25</v>
      </c>
      <c r="E707" t="s">
        <v>54</v>
      </c>
      <c r="F707" t="s">
        <v>27</v>
      </c>
      <c r="G707" t="s">
        <v>28</v>
      </c>
      <c r="H707">
        <v>2</v>
      </c>
      <c r="I707" s="12">
        <v>25.83</v>
      </c>
      <c r="J707" s="12">
        <v>0</v>
      </c>
      <c r="K707" s="9">
        <v>51.66</v>
      </c>
      <c r="L707" s="9">
        <v>5.03</v>
      </c>
      <c r="M707" s="9">
        <f t="shared" ref="M707:M770" si="11">H707*I707*J707</f>
        <v>0</v>
      </c>
    </row>
    <row r="708" spans="1:13" x14ac:dyDescent="0.3">
      <c r="A708" t="s">
        <v>1012</v>
      </c>
      <c r="B708" s="1">
        <v>45873</v>
      </c>
      <c r="C708" t="s">
        <v>1013</v>
      </c>
      <c r="D708" t="s">
        <v>40</v>
      </c>
      <c r="E708" t="s">
        <v>56</v>
      </c>
      <c r="F708" t="s">
        <v>21</v>
      </c>
      <c r="G708" t="s">
        <v>17</v>
      </c>
      <c r="H708">
        <v>2</v>
      </c>
      <c r="I708" s="12">
        <v>308.33</v>
      </c>
      <c r="J708" s="12">
        <v>0.1</v>
      </c>
      <c r="K708" s="9">
        <v>555</v>
      </c>
      <c r="L708" s="9">
        <v>119.98</v>
      </c>
      <c r="M708" s="9">
        <f t="shared" si="11"/>
        <v>61.665999999999997</v>
      </c>
    </row>
    <row r="709" spans="1:13" x14ac:dyDescent="0.3">
      <c r="A709" t="s">
        <v>1014</v>
      </c>
      <c r="B709" s="1">
        <v>45875</v>
      </c>
      <c r="C709" t="s">
        <v>966</v>
      </c>
      <c r="D709" t="s">
        <v>40</v>
      </c>
      <c r="E709" t="s">
        <v>110</v>
      </c>
      <c r="F709" t="s">
        <v>42</v>
      </c>
      <c r="G709" t="s">
        <v>22</v>
      </c>
      <c r="H709">
        <v>2</v>
      </c>
      <c r="I709" s="12">
        <v>22.31</v>
      </c>
      <c r="J709" s="12">
        <v>0.15</v>
      </c>
      <c r="K709" s="9">
        <v>37.93</v>
      </c>
      <c r="L709" s="9">
        <v>1.62</v>
      </c>
      <c r="M709" s="9">
        <f t="shared" si="11"/>
        <v>6.6929999999999996</v>
      </c>
    </row>
    <row r="710" spans="1:13" x14ac:dyDescent="0.3">
      <c r="A710" t="s">
        <v>1015</v>
      </c>
      <c r="B710" s="1">
        <v>45875</v>
      </c>
      <c r="C710" t="s">
        <v>887</v>
      </c>
      <c r="D710" t="s">
        <v>14</v>
      </c>
      <c r="E710" t="s">
        <v>110</v>
      </c>
      <c r="F710" t="s">
        <v>42</v>
      </c>
      <c r="G710" t="s">
        <v>32</v>
      </c>
      <c r="H710">
        <v>1</v>
      </c>
      <c r="I710" s="12">
        <v>23.67</v>
      </c>
      <c r="J710" s="12">
        <v>0</v>
      </c>
      <c r="K710" s="9">
        <v>23.67</v>
      </c>
      <c r="L710" s="9">
        <v>2.11</v>
      </c>
      <c r="M710" s="9">
        <f t="shared" si="11"/>
        <v>0</v>
      </c>
    </row>
    <row r="711" spans="1:13" x14ac:dyDescent="0.3">
      <c r="A711" t="s">
        <v>1016</v>
      </c>
      <c r="B711" s="1">
        <v>45875</v>
      </c>
      <c r="C711" t="s">
        <v>146</v>
      </c>
      <c r="D711" t="s">
        <v>25</v>
      </c>
      <c r="E711" t="s">
        <v>92</v>
      </c>
      <c r="F711" t="s">
        <v>16</v>
      </c>
      <c r="G711" t="s">
        <v>22</v>
      </c>
      <c r="H711">
        <v>3</v>
      </c>
      <c r="I711" s="12">
        <v>8.1999999999999993</v>
      </c>
      <c r="J711" s="12">
        <v>0.15</v>
      </c>
      <c r="K711" s="9">
        <v>20.9</v>
      </c>
      <c r="L711" s="9">
        <v>0.94</v>
      </c>
      <c r="M711" s="9">
        <f t="shared" si="11"/>
        <v>3.6899999999999995</v>
      </c>
    </row>
    <row r="712" spans="1:13" x14ac:dyDescent="0.3">
      <c r="A712" t="s">
        <v>1017</v>
      </c>
      <c r="B712" s="1">
        <v>45876</v>
      </c>
      <c r="C712" t="s">
        <v>801</v>
      </c>
      <c r="D712" t="s">
        <v>14</v>
      </c>
      <c r="E712" t="s">
        <v>51</v>
      </c>
      <c r="F712" t="s">
        <v>27</v>
      </c>
      <c r="G712" t="s">
        <v>17</v>
      </c>
      <c r="H712">
        <v>1</v>
      </c>
      <c r="I712" s="12">
        <v>906.02</v>
      </c>
      <c r="J712" s="12">
        <v>0.05</v>
      </c>
      <c r="K712" s="9">
        <v>860.72</v>
      </c>
      <c r="L712" s="9">
        <v>107.65</v>
      </c>
      <c r="M712" s="9">
        <f t="shared" si="11"/>
        <v>45.301000000000002</v>
      </c>
    </row>
    <row r="713" spans="1:13" x14ac:dyDescent="0.3">
      <c r="A713" t="s">
        <v>1018</v>
      </c>
      <c r="B713" s="1">
        <v>45876</v>
      </c>
      <c r="C713" t="s">
        <v>416</v>
      </c>
      <c r="D713" t="s">
        <v>40</v>
      </c>
      <c r="E713" t="s">
        <v>110</v>
      </c>
      <c r="F713" t="s">
        <v>42</v>
      </c>
      <c r="G713" t="s">
        <v>22</v>
      </c>
      <c r="H713">
        <v>1</v>
      </c>
      <c r="I713" s="12">
        <v>21.16</v>
      </c>
      <c r="J713" s="12">
        <v>0.15</v>
      </c>
      <c r="K713" s="9">
        <v>17.989999999999998</v>
      </c>
      <c r="L713" s="9">
        <v>4.4800000000000004</v>
      </c>
      <c r="M713" s="9">
        <f t="shared" si="11"/>
        <v>3.1739999999999999</v>
      </c>
    </row>
    <row r="714" spans="1:13" x14ac:dyDescent="0.3">
      <c r="A714" t="s">
        <v>1019</v>
      </c>
      <c r="B714" s="1">
        <v>45876</v>
      </c>
      <c r="C714" t="s">
        <v>144</v>
      </c>
      <c r="D714" t="s">
        <v>14</v>
      </c>
      <c r="E714" t="s">
        <v>20</v>
      </c>
      <c r="F714" t="s">
        <v>21</v>
      </c>
      <c r="G714" t="s">
        <v>28</v>
      </c>
      <c r="H714">
        <v>4</v>
      </c>
      <c r="I714" s="12">
        <v>180.42</v>
      </c>
      <c r="J714" s="12">
        <v>0</v>
      </c>
      <c r="K714" s="9">
        <v>721.7</v>
      </c>
      <c r="L714" s="9">
        <v>168.8</v>
      </c>
      <c r="M714" s="9">
        <f t="shared" si="11"/>
        <v>0</v>
      </c>
    </row>
    <row r="715" spans="1:13" x14ac:dyDescent="0.3">
      <c r="A715" t="s">
        <v>1020</v>
      </c>
      <c r="B715" s="1">
        <v>45876</v>
      </c>
      <c r="C715" t="s">
        <v>197</v>
      </c>
      <c r="D715" t="s">
        <v>40</v>
      </c>
      <c r="E715" t="s">
        <v>54</v>
      </c>
      <c r="F715" t="s">
        <v>27</v>
      </c>
      <c r="G715" t="s">
        <v>17</v>
      </c>
      <c r="H715">
        <v>2</v>
      </c>
      <c r="I715" s="12">
        <v>27.87</v>
      </c>
      <c r="J715" s="12">
        <v>0.1</v>
      </c>
      <c r="K715" s="9">
        <v>50.16</v>
      </c>
      <c r="L715" s="9">
        <v>13.21</v>
      </c>
      <c r="M715" s="9">
        <f t="shared" si="11"/>
        <v>5.5740000000000007</v>
      </c>
    </row>
    <row r="716" spans="1:13" x14ac:dyDescent="0.3">
      <c r="A716" t="s">
        <v>1021</v>
      </c>
      <c r="B716" s="1">
        <v>45877</v>
      </c>
      <c r="C716" t="s">
        <v>304</v>
      </c>
      <c r="D716" t="s">
        <v>25</v>
      </c>
      <c r="E716" t="s">
        <v>51</v>
      </c>
      <c r="F716" t="s">
        <v>27</v>
      </c>
      <c r="G716" t="s">
        <v>32</v>
      </c>
      <c r="H716">
        <v>1</v>
      </c>
      <c r="I716" s="12">
        <v>959.47</v>
      </c>
      <c r="J716" s="12">
        <v>0.2</v>
      </c>
      <c r="K716" s="9">
        <v>767.58</v>
      </c>
      <c r="L716" s="9">
        <v>183.6</v>
      </c>
      <c r="M716" s="9">
        <f t="shared" si="11"/>
        <v>191.89400000000001</v>
      </c>
    </row>
    <row r="717" spans="1:13" x14ac:dyDescent="0.3">
      <c r="A717" t="s">
        <v>1022</v>
      </c>
      <c r="B717" s="1">
        <v>45877</v>
      </c>
      <c r="C717" t="s">
        <v>679</v>
      </c>
      <c r="D717" t="s">
        <v>40</v>
      </c>
      <c r="E717" t="s">
        <v>41</v>
      </c>
      <c r="F717" t="s">
        <v>42</v>
      </c>
      <c r="G717" t="s">
        <v>28</v>
      </c>
      <c r="H717">
        <v>2</v>
      </c>
      <c r="I717" s="12">
        <v>55.97</v>
      </c>
      <c r="J717" s="12">
        <v>0.05</v>
      </c>
      <c r="K717" s="9">
        <v>106.34</v>
      </c>
      <c r="L717" s="9">
        <v>8.02</v>
      </c>
      <c r="M717" s="9">
        <f t="shared" si="11"/>
        <v>5.5970000000000004</v>
      </c>
    </row>
    <row r="718" spans="1:13" x14ac:dyDescent="0.3">
      <c r="A718" t="s">
        <v>1023</v>
      </c>
      <c r="B718" s="1">
        <v>45877</v>
      </c>
      <c r="C718" t="s">
        <v>246</v>
      </c>
      <c r="D718" t="s">
        <v>40</v>
      </c>
      <c r="E718" t="s">
        <v>51</v>
      </c>
      <c r="F718" t="s">
        <v>27</v>
      </c>
      <c r="G718" t="s">
        <v>28</v>
      </c>
      <c r="H718">
        <v>1</v>
      </c>
      <c r="I718" s="12">
        <v>869.18</v>
      </c>
      <c r="J718" s="12">
        <v>0.15</v>
      </c>
      <c r="K718" s="9">
        <v>738.8</v>
      </c>
      <c r="L718" s="9">
        <v>160.04</v>
      </c>
      <c r="M718" s="9">
        <f t="shared" si="11"/>
        <v>130.37699999999998</v>
      </c>
    </row>
    <row r="719" spans="1:13" x14ac:dyDescent="0.3">
      <c r="A719" t="s">
        <v>1024</v>
      </c>
      <c r="B719" s="1">
        <v>45877</v>
      </c>
      <c r="C719" t="s">
        <v>389</v>
      </c>
      <c r="D719" t="s">
        <v>14</v>
      </c>
      <c r="E719" t="s">
        <v>51</v>
      </c>
      <c r="F719" t="s">
        <v>27</v>
      </c>
      <c r="G719" t="s">
        <v>32</v>
      </c>
      <c r="H719">
        <v>3</v>
      </c>
      <c r="I719" s="12">
        <v>914.5</v>
      </c>
      <c r="J719" s="12">
        <v>0.15</v>
      </c>
      <c r="K719" s="9">
        <v>2331.98</v>
      </c>
      <c r="L719" s="9">
        <v>455.77</v>
      </c>
      <c r="M719" s="9">
        <f t="shared" si="11"/>
        <v>411.52499999999998</v>
      </c>
    </row>
    <row r="720" spans="1:13" x14ac:dyDescent="0.3">
      <c r="A720" t="s">
        <v>1025</v>
      </c>
      <c r="B720" s="1">
        <v>45877</v>
      </c>
      <c r="C720" t="s">
        <v>494</v>
      </c>
      <c r="D720" t="s">
        <v>14</v>
      </c>
      <c r="E720" t="s">
        <v>92</v>
      </c>
      <c r="F720" t="s">
        <v>16</v>
      </c>
      <c r="G720" t="s">
        <v>17</v>
      </c>
      <c r="H720">
        <v>4</v>
      </c>
      <c r="I720" s="12">
        <v>9.67</v>
      </c>
      <c r="J720" s="12">
        <v>0</v>
      </c>
      <c r="K720" s="9">
        <v>38.69</v>
      </c>
      <c r="L720" s="9">
        <v>3.33</v>
      </c>
      <c r="M720" s="9">
        <f t="shared" si="11"/>
        <v>0</v>
      </c>
    </row>
    <row r="721" spans="1:13" x14ac:dyDescent="0.3">
      <c r="A721" t="s">
        <v>1026</v>
      </c>
      <c r="B721" s="1">
        <v>45877</v>
      </c>
      <c r="C721" t="s">
        <v>228</v>
      </c>
      <c r="D721" t="s">
        <v>14</v>
      </c>
      <c r="E721" t="s">
        <v>92</v>
      </c>
      <c r="F721" t="s">
        <v>16</v>
      </c>
      <c r="G721" t="s">
        <v>17</v>
      </c>
      <c r="H721">
        <v>3</v>
      </c>
      <c r="I721" s="12">
        <v>9.58</v>
      </c>
      <c r="J721" s="12">
        <v>0.1</v>
      </c>
      <c r="K721" s="9">
        <v>25.88</v>
      </c>
      <c r="L721" s="9">
        <v>5.0999999999999996</v>
      </c>
      <c r="M721" s="9">
        <f t="shared" si="11"/>
        <v>2.8740000000000006</v>
      </c>
    </row>
    <row r="722" spans="1:13" x14ac:dyDescent="0.3">
      <c r="A722" t="s">
        <v>1027</v>
      </c>
      <c r="B722" s="1">
        <v>45878</v>
      </c>
      <c r="C722" t="s">
        <v>1028</v>
      </c>
      <c r="D722" t="s">
        <v>14</v>
      </c>
      <c r="E722" t="s">
        <v>110</v>
      </c>
      <c r="F722" t="s">
        <v>42</v>
      </c>
      <c r="G722" t="s">
        <v>32</v>
      </c>
      <c r="H722">
        <v>1</v>
      </c>
      <c r="I722" s="12">
        <v>22.48</v>
      </c>
      <c r="J722" s="12">
        <v>0.1</v>
      </c>
      <c r="K722" s="9">
        <v>20.23</v>
      </c>
      <c r="L722" s="9">
        <v>4.0599999999999996</v>
      </c>
      <c r="M722" s="9">
        <f t="shared" si="11"/>
        <v>2.2480000000000002</v>
      </c>
    </row>
    <row r="723" spans="1:13" x14ac:dyDescent="0.3">
      <c r="A723" t="s">
        <v>1029</v>
      </c>
      <c r="B723" s="1">
        <v>45878</v>
      </c>
      <c r="C723" t="s">
        <v>177</v>
      </c>
      <c r="D723" t="s">
        <v>14</v>
      </c>
      <c r="E723" t="s">
        <v>65</v>
      </c>
      <c r="F723" t="s">
        <v>16</v>
      </c>
      <c r="G723" t="s">
        <v>32</v>
      </c>
      <c r="H723">
        <v>2</v>
      </c>
      <c r="I723" s="12">
        <v>17.920000000000002</v>
      </c>
      <c r="J723" s="12">
        <v>0</v>
      </c>
      <c r="K723" s="9">
        <v>35.83</v>
      </c>
      <c r="L723" s="9">
        <v>5.69</v>
      </c>
      <c r="M723" s="9">
        <f t="shared" si="11"/>
        <v>0</v>
      </c>
    </row>
    <row r="724" spans="1:13" x14ac:dyDescent="0.3">
      <c r="A724" t="s">
        <v>1030</v>
      </c>
      <c r="B724" s="1">
        <v>45878</v>
      </c>
      <c r="C724" t="s">
        <v>231</v>
      </c>
      <c r="D724" t="s">
        <v>14</v>
      </c>
      <c r="E724" t="s">
        <v>26</v>
      </c>
      <c r="F724" t="s">
        <v>27</v>
      </c>
      <c r="G724" t="s">
        <v>22</v>
      </c>
      <c r="H724">
        <v>2</v>
      </c>
      <c r="I724" s="12">
        <v>79.260000000000005</v>
      </c>
      <c r="J724" s="12">
        <v>0.1</v>
      </c>
      <c r="K724" s="9">
        <v>142.66999999999999</v>
      </c>
      <c r="L724" s="9">
        <v>20.51</v>
      </c>
      <c r="M724" s="9">
        <f t="shared" si="11"/>
        <v>15.852000000000002</v>
      </c>
    </row>
    <row r="725" spans="1:13" x14ac:dyDescent="0.3">
      <c r="A725" t="s">
        <v>1031</v>
      </c>
      <c r="B725" s="1">
        <v>45878</v>
      </c>
      <c r="C725" t="s">
        <v>1013</v>
      </c>
      <c r="D725" t="s">
        <v>14</v>
      </c>
      <c r="E725" t="s">
        <v>110</v>
      </c>
      <c r="F725" t="s">
        <v>42</v>
      </c>
      <c r="G725" t="s">
        <v>22</v>
      </c>
      <c r="H725">
        <v>2</v>
      </c>
      <c r="I725" s="12">
        <v>21.07</v>
      </c>
      <c r="J725" s="12">
        <v>0.15</v>
      </c>
      <c r="K725" s="9">
        <v>35.81</v>
      </c>
      <c r="L725" s="9">
        <v>2.86</v>
      </c>
      <c r="M725" s="9">
        <f t="shared" si="11"/>
        <v>6.3209999999999997</v>
      </c>
    </row>
    <row r="726" spans="1:13" x14ac:dyDescent="0.3">
      <c r="A726" t="s">
        <v>1032</v>
      </c>
      <c r="B726" s="1">
        <v>45878</v>
      </c>
      <c r="C726" t="s">
        <v>682</v>
      </c>
      <c r="D726" t="s">
        <v>14</v>
      </c>
      <c r="E726" t="s">
        <v>56</v>
      </c>
      <c r="F726" t="s">
        <v>21</v>
      </c>
      <c r="G726" t="s">
        <v>17</v>
      </c>
      <c r="H726">
        <v>5</v>
      </c>
      <c r="I726" s="12">
        <v>303.95</v>
      </c>
      <c r="J726" s="12">
        <v>0.1</v>
      </c>
      <c r="K726" s="9">
        <v>1367.76</v>
      </c>
      <c r="L726" s="9">
        <v>235.29</v>
      </c>
      <c r="M726" s="9">
        <f t="shared" si="11"/>
        <v>151.97499999999999</v>
      </c>
    </row>
    <row r="727" spans="1:13" x14ac:dyDescent="0.3">
      <c r="A727" t="s">
        <v>1033</v>
      </c>
      <c r="B727" s="1">
        <v>45878</v>
      </c>
      <c r="C727" t="s">
        <v>80</v>
      </c>
      <c r="D727" t="s">
        <v>25</v>
      </c>
      <c r="E727" t="s">
        <v>110</v>
      </c>
      <c r="F727" t="s">
        <v>42</v>
      </c>
      <c r="G727" t="s">
        <v>17</v>
      </c>
      <c r="H727">
        <v>1</v>
      </c>
      <c r="I727" s="12">
        <v>22.4</v>
      </c>
      <c r="J727" s="12">
        <v>0.05</v>
      </c>
      <c r="K727" s="9">
        <v>21.28</v>
      </c>
      <c r="L727" s="9">
        <v>4.28</v>
      </c>
      <c r="M727" s="9">
        <f t="shared" si="11"/>
        <v>1.1199999999999999</v>
      </c>
    </row>
    <row r="728" spans="1:13" x14ac:dyDescent="0.3">
      <c r="A728" t="s">
        <v>1034</v>
      </c>
      <c r="B728" s="1">
        <v>45878</v>
      </c>
      <c r="C728" t="s">
        <v>625</v>
      </c>
      <c r="D728" t="s">
        <v>14</v>
      </c>
      <c r="E728" t="s">
        <v>51</v>
      </c>
      <c r="F728" t="s">
        <v>27</v>
      </c>
      <c r="G728" t="s">
        <v>17</v>
      </c>
      <c r="H728">
        <v>1</v>
      </c>
      <c r="I728" s="12">
        <v>977.63</v>
      </c>
      <c r="J728" s="12">
        <v>0.1</v>
      </c>
      <c r="K728" s="9">
        <v>879.86</v>
      </c>
      <c r="L728" s="9">
        <v>173.23</v>
      </c>
      <c r="M728" s="9">
        <f t="shared" si="11"/>
        <v>97.763000000000005</v>
      </c>
    </row>
    <row r="729" spans="1:13" x14ac:dyDescent="0.3">
      <c r="A729" t="s">
        <v>1035</v>
      </c>
      <c r="B729" s="1">
        <v>45879</v>
      </c>
      <c r="C729" t="s">
        <v>116</v>
      </c>
      <c r="D729" t="s">
        <v>40</v>
      </c>
      <c r="E729" t="s">
        <v>31</v>
      </c>
      <c r="F729" t="s">
        <v>21</v>
      </c>
      <c r="G729" t="s">
        <v>32</v>
      </c>
      <c r="H729">
        <v>2</v>
      </c>
      <c r="I729" s="12">
        <v>41.93</v>
      </c>
      <c r="J729" s="12">
        <v>0</v>
      </c>
      <c r="K729" s="9">
        <v>83.86</v>
      </c>
      <c r="L729" s="9">
        <v>7.79</v>
      </c>
      <c r="M729" s="9">
        <f t="shared" si="11"/>
        <v>0</v>
      </c>
    </row>
    <row r="730" spans="1:13" x14ac:dyDescent="0.3">
      <c r="A730" t="s">
        <v>1036</v>
      </c>
      <c r="B730" s="1">
        <v>45879</v>
      </c>
      <c r="C730" t="s">
        <v>240</v>
      </c>
      <c r="D730" t="s">
        <v>40</v>
      </c>
      <c r="E730" t="s">
        <v>41</v>
      </c>
      <c r="F730" t="s">
        <v>42</v>
      </c>
      <c r="G730" t="s">
        <v>22</v>
      </c>
      <c r="H730">
        <v>1</v>
      </c>
      <c r="I730" s="12">
        <v>60.02</v>
      </c>
      <c r="J730" s="12">
        <v>0.05</v>
      </c>
      <c r="K730" s="9">
        <v>57.02</v>
      </c>
      <c r="L730" s="9">
        <v>12.46</v>
      </c>
      <c r="M730" s="9">
        <f t="shared" si="11"/>
        <v>3.0010000000000003</v>
      </c>
    </row>
    <row r="731" spans="1:13" x14ac:dyDescent="0.3">
      <c r="A731" t="s">
        <v>1037</v>
      </c>
      <c r="B731" s="1">
        <v>45879</v>
      </c>
      <c r="C731" t="s">
        <v>332</v>
      </c>
      <c r="D731" t="s">
        <v>40</v>
      </c>
      <c r="E731" t="s">
        <v>15</v>
      </c>
      <c r="F731" t="s">
        <v>16</v>
      </c>
      <c r="G731" t="s">
        <v>32</v>
      </c>
      <c r="H731">
        <v>2</v>
      </c>
      <c r="I731" s="12">
        <v>14.67</v>
      </c>
      <c r="J731" s="12">
        <v>0.1</v>
      </c>
      <c r="K731" s="9">
        <v>26.4</v>
      </c>
      <c r="L731" s="9">
        <v>4.63</v>
      </c>
      <c r="M731" s="9">
        <f t="shared" si="11"/>
        <v>2.9340000000000002</v>
      </c>
    </row>
    <row r="732" spans="1:13" x14ac:dyDescent="0.3">
      <c r="A732" t="s">
        <v>1038</v>
      </c>
      <c r="B732" s="1">
        <v>45879</v>
      </c>
      <c r="C732" t="s">
        <v>544</v>
      </c>
      <c r="D732" t="s">
        <v>14</v>
      </c>
      <c r="E732" t="s">
        <v>92</v>
      </c>
      <c r="F732" t="s">
        <v>16</v>
      </c>
      <c r="G732" t="s">
        <v>32</v>
      </c>
      <c r="H732">
        <v>1</v>
      </c>
      <c r="I732" s="12">
        <v>9.49</v>
      </c>
      <c r="J732" s="12">
        <v>0</v>
      </c>
      <c r="K732" s="9">
        <v>9.49</v>
      </c>
      <c r="L732" s="9">
        <v>1.74</v>
      </c>
      <c r="M732" s="9">
        <f t="shared" si="11"/>
        <v>0</v>
      </c>
    </row>
    <row r="733" spans="1:13" x14ac:dyDescent="0.3">
      <c r="A733" t="s">
        <v>1039</v>
      </c>
      <c r="B733" s="1">
        <v>45879</v>
      </c>
      <c r="C733" t="s">
        <v>46</v>
      </c>
      <c r="D733" t="s">
        <v>25</v>
      </c>
      <c r="E733" t="s">
        <v>51</v>
      </c>
      <c r="F733" t="s">
        <v>27</v>
      </c>
      <c r="G733" t="s">
        <v>17</v>
      </c>
      <c r="H733">
        <v>2</v>
      </c>
      <c r="I733" s="12">
        <v>979.39</v>
      </c>
      <c r="J733" s="12">
        <v>0</v>
      </c>
      <c r="K733" s="9">
        <v>1958.79</v>
      </c>
      <c r="L733" s="9">
        <v>479.42</v>
      </c>
      <c r="M733" s="9">
        <f t="shared" si="11"/>
        <v>0</v>
      </c>
    </row>
    <row r="734" spans="1:13" x14ac:dyDescent="0.3">
      <c r="A734" t="s">
        <v>1040</v>
      </c>
      <c r="B734" s="1">
        <v>45880</v>
      </c>
      <c r="C734" t="s">
        <v>164</v>
      </c>
      <c r="D734" t="s">
        <v>14</v>
      </c>
      <c r="E734" t="s">
        <v>110</v>
      </c>
      <c r="F734" t="s">
        <v>42</v>
      </c>
      <c r="G734" t="s">
        <v>17</v>
      </c>
      <c r="H734">
        <v>2</v>
      </c>
      <c r="I734" s="12">
        <v>22.4</v>
      </c>
      <c r="J734" s="12">
        <v>0.1</v>
      </c>
      <c r="K734" s="9">
        <v>40.33</v>
      </c>
      <c r="L734" s="9">
        <v>8.2100000000000009</v>
      </c>
      <c r="M734" s="9">
        <f t="shared" si="11"/>
        <v>4.4799999999999995</v>
      </c>
    </row>
    <row r="735" spans="1:13" x14ac:dyDescent="0.3">
      <c r="A735" t="s">
        <v>1041</v>
      </c>
      <c r="B735" s="1">
        <v>45880</v>
      </c>
      <c r="C735" t="s">
        <v>877</v>
      </c>
      <c r="D735" t="s">
        <v>40</v>
      </c>
      <c r="E735" t="s">
        <v>65</v>
      </c>
      <c r="F735" t="s">
        <v>16</v>
      </c>
      <c r="G735" t="s">
        <v>32</v>
      </c>
      <c r="H735">
        <v>1</v>
      </c>
      <c r="I735" s="12">
        <v>16.899999999999999</v>
      </c>
      <c r="J735" s="12">
        <v>0.2</v>
      </c>
      <c r="K735" s="9">
        <v>13.52</v>
      </c>
      <c r="L735" s="9">
        <v>1.47</v>
      </c>
      <c r="M735" s="9">
        <f t="shared" si="11"/>
        <v>3.38</v>
      </c>
    </row>
    <row r="736" spans="1:13" x14ac:dyDescent="0.3">
      <c r="A736" t="s">
        <v>1042</v>
      </c>
      <c r="B736" s="1">
        <v>45880</v>
      </c>
      <c r="C736" t="s">
        <v>266</v>
      </c>
      <c r="D736" t="s">
        <v>40</v>
      </c>
      <c r="E736" t="s">
        <v>37</v>
      </c>
      <c r="F736" t="s">
        <v>27</v>
      </c>
      <c r="G736" t="s">
        <v>22</v>
      </c>
      <c r="H736">
        <v>2</v>
      </c>
      <c r="I736" s="12">
        <v>202.8</v>
      </c>
      <c r="J736" s="12">
        <v>0</v>
      </c>
      <c r="K736" s="9">
        <v>405.61</v>
      </c>
      <c r="L736" s="9">
        <v>87</v>
      </c>
      <c r="M736" s="9">
        <f t="shared" si="11"/>
        <v>0</v>
      </c>
    </row>
    <row r="737" spans="1:13" x14ac:dyDescent="0.3">
      <c r="A737" t="s">
        <v>1043</v>
      </c>
      <c r="B737" s="1">
        <v>45880</v>
      </c>
      <c r="C737" t="s">
        <v>1044</v>
      </c>
      <c r="D737" t="s">
        <v>14</v>
      </c>
      <c r="E737" t="s">
        <v>20</v>
      </c>
      <c r="F737" t="s">
        <v>21</v>
      </c>
      <c r="G737" t="s">
        <v>17</v>
      </c>
      <c r="H737">
        <v>2</v>
      </c>
      <c r="I737" s="12">
        <v>191.18</v>
      </c>
      <c r="J737" s="12">
        <v>0.05</v>
      </c>
      <c r="K737" s="9">
        <v>363.25</v>
      </c>
      <c r="L737" s="9">
        <v>77.959999999999994</v>
      </c>
      <c r="M737" s="9">
        <f t="shared" si="11"/>
        <v>19.118000000000002</v>
      </c>
    </row>
    <row r="738" spans="1:13" x14ac:dyDescent="0.3">
      <c r="A738" t="s">
        <v>1045</v>
      </c>
      <c r="B738" s="1">
        <v>45881</v>
      </c>
      <c r="C738" t="s">
        <v>1046</v>
      </c>
      <c r="D738" t="s">
        <v>14</v>
      </c>
      <c r="E738" t="s">
        <v>65</v>
      </c>
      <c r="F738" t="s">
        <v>16</v>
      </c>
      <c r="G738" t="s">
        <v>22</v>
      </c>
      <c r="H738">
        <v>1</v>
      </c>
      <c r="I738" s="12">
        <v>17.850000000000001</v>
      </c>
      <c r="J738" s="12">
        <v>0.1</v>
      </c>
      <c r="K738" s="9">
        <v>16.07</v>
      </c>
      <c r="L738" s="9">
        <v>2.7</v>
      </c>
      <c r="M738" s="9">
        <f t="shared" si="11"/>
        <v>1.7850000000000001</v>
      </c>
    </row>
    <row r="739" spans="1:13" x14ac:dyDescent="0.3">
      <c r="A739" t="s">
        <v>1047</v>
      </c>
      <c r="B739" s="1">
        <v>45881</v>
      </c>
      <c r="C739" t="s">
        <v>107</v>
      </c>
      <c r="D739" t="s">
        <v>14</v>
      </c>
      <c r="E739" t="s">
        <v>37</v>
      </c>
      <c r="F739" t="s">
        <v>27</v>
      </c>
      <c r="G739" t="s">
        <v>17</v>
      </c>
      <c r="H739">
        <v>2</v>
      </c>
      <c r="I739" s="12">
        <v>195.63</v>
      </c>
      <c r="J739" s="12">
        <v>0.05</v>
      </c>
      <c r="K739" s="9">
        <v>371.69</v>
      </c>
      <c r="L739" s="9">
        <v>82.39</v>
      </c>
      <c r="M739" s="9">
        <f t="shared" si="11"/>
        <v>19.563000000000002</v>
      </c>
    </row>
    <row r="740" spans="1:13" x14ac:dyDescent="0.3">
      <c r="A740" t="s">
        <v>1048</v>
      </c>
      <c r="B740" s="1">
        <v>45881</v>
      </c>
      <c r="C740" t="s">
        <v>87</v>
      </c>
      <c r="D740" t="s">
        <v>40</v>
      </c>
      <c r="E740" t="s">
        <v>20</v>
      </c>
      <c r="F740" t="s">
        <v>21</v>
      </c>
      <c r="G740" t="s">
        <v>17</v>
      </c>
      <c r="H740">
        <v>4</v>
      </c>
      <c r="I740" s="12">
        <v>190.2</v>
      </c>
      <c r="J740" s="12">
        <v>0.05</v>
      </c>
      <c r="K740" s="9">
        <v>722.76</v>
      </c>
      <c r="L740" s="9">
        <v>87.41</v>
      </c>
      <c r="M740" s="9">
        <f t="shared" si="11"/>
        <v>38.04</v>
      </c>
    </row>
    <row r="741" spans="1:13" x14ac:dyDescent="0.3">
      <c r="A741" t="s">
        <v>1049</v>
      </c>
      <c r="B741" s="1">
        <v>45882</v>
      </c>
      <c r="C741" t="s">
        <v>124</v>
      </c>
      <c r="D741" t="s">
        <v>14</v>
      </c>
      <c r="E741" t="s">
        <v>26</v>
      </c>
      <c r="F741" t="s">
        <v>27</v>
      </c>
      <c r="G741" t="s">
        <v>28</v>
      </c>
      <c r="H741">
        <v>2</v>
      </c>
      <c r="I741" s="12">
        <v>73.09</v>
      </c>
      <c r="J741" s="12">
        <v>0.1</v>
      </c>
      <c r="K741" s="9">
        <v>131.57</v>
      </c>
      <c r="L741" s="9">
        <v>21.23</v>
      </c>
      <c r="M741" s="9">
        <f t="shared" si="11"/>
        <v>14.618000000000002</v>
      </c>
    </row>
    <row r="742" spans="1:13" x14ac:dyDescent="0.3">
      <c r="A742" t="s">
        <v>1050</v>
      </c>
      <c r="B742" s="1">
        <v>45882</v>
      </c>
      <c r="C742" t="s">
        <v>134</v>
      </c>
      <c r="D742" t="s">
        <v>40</v>
      </c>
      <c r="E742" t="s">
        <v>56</v>
      </c>
      <c r="F742" t="s">
        <v>21</v>
      </c>
      <c r="G742" t="s">
        <v>22</v>
      </c>
      <c r="H742">
        <v>2</v>
      </c>
      <c r="I742" s="12">
        <v>314.63</v>
      </c>
      <c r="J742" s="12">
        <v>0.1</v>
      </c>
      <c r="K742" s="9">
        <v>566.34</v>
      </c>
      <c r="L742" s="9">
        <v>136.26</v>
      </c>
      <c r="M742" s="9">
        <f t="shared" si="11"/>
        <v>62.926000000000002</v>
      </c>
    </row>
    <row r="743" spans="1:13" x14ac:dyDescent="0.3">
      <c r="A743" t="s">
        <v>1051</v>
      </c>
      <c r="B743" s="1">
        <v>45882</v>
      </c>
      <c r="C743" t="s">
        <v>798</v>
      </c>
      <c r="D743" t="s">
        <v>25</v>
      </c>
      <c r="E743" t="s">
        <v>54</v>
      </c>
      <c r="F743" t="s">
        <v>27</v>
      </c>
      <c r="G743" t="s">
        <v>32</v>
      </c>
      <c r="H743">
        <v>1</v>
      </c>
      <c r="I743" s="12">
        <v>26.45</v>
      </c>
      <c r="J743" s="12">
        <v>0.1</v>
      </c>
      <c r="K743" s="9">
        <v>23.8</v>
      </c>
      <c r="L743" s="9">
        <v>2.81</v>
      </c>
      <c r="M743" s="9">
        <f t="shared" si="11"/>
        <v>2.645</v>
      </c>
    </row>
    <row r="744" spans="1:13" x14ac:dyDescent="0.3">
      <c r="A744" t="s">
        <v>1052</v>
      </c>
      <c r="B744" s="1">
        <v>45883</v>
      </c>
      <c r="C744" t="s">
        <v>103</v>
      </c>
      <c r="D744" t="s">
        <v>40</v>
      </c>
      <c r="E744" t="s">
        <v>31</v>
      </c>
      <c r="F744" t="s">
        <v>21</v>
      </c>
      <c r="G744" t="s">
        <v>22</v>
      </c>
      <c r="H744">
        <v>4</v>
      </c>
      <c r="I744" s="12">
        <v>39.35</v>
      </c>
      <c r="J744" s="12">
        <v>0.15</v>
      </c>
      <c r="K744" s="9">
        <v>133.78</v>
      </c>
      <c r="L744" s="9">
        <v>18.2</v>
      </c>
      <c r="M744" s="9">
        <f t="shared" si="11"/>
        <v>23.61</v>
      </c>
    </row>
    <row r="745" spans="1:13" x14ac:dyDescent="0.3">
      <c r="A745" t="s">
        <v>1053</v>
      </c>
      <c r="B745" s="1">
        <v>45883</v>
      </c>
      <c r="C745" t="s">
        <v>53</v>
      </c>
      <c r="D745" t="s">
        <v>40</v>
      </c>
      <c r="E745" t="s">
        <v>54</v>
      </c>
      <c r="F745" t="s">
        <v>27</v>
      </c>
      <c r="G745" t="s">
        <v>17</v>
      </c>
      <c r="H745">
        <v>1</v>
      </c>
      <c r="I745" s="12">
        <v>26.12</v>
      </c>
      <c r="J745" s="12">
        <v>0.05</v>
      </c>
      <c r="K745" s="9">
        <v>24.81</v>
      </c>
      <c r="L745" s="9">
        <v>3.19</v>
      </c>
      <c r="M745" s="9">
        <f t="shared" si="11"/>
        <v>1.306</v>
      </c>
    </row>
    <row r="746" spans="1:13" x14ac:dyDescent="0.3">
      <c r="A746" t="s">
        <v>1054</v>
      </c>
      <c r="B746" s="1">
        <v>45883</v>
      </c>
      <c r="C746" t="s">
        <v>234</v>
      </c>
      <c r="D746" t="s">
        <v>40</v>
      </c>
      <c r="E746" t="s">
        <v>20</v>
      </c>
      <c r="F746" t="s">
        <v>21</v>
      </c>
      <c r="G746" t="s">
        <v>28</v>
      </c>
      <c r="H746">
        <v>1</v>
      </c>
      <c r="I746" s="12">
        <v>171.9</v>
      </c>
      <c r="J746" s="12">
        <v>0.1</v>
      </c>
      <c r="K746" s="9">
        <v>154.71</v>
      </c>
      <c r="L746" s="9">
        <v>29.04</v>
      </c>
      <c r="M746" s="9">
        <f t="shared" si="11"/>
        <v>17.190000000000001</v>
      </c>
    </row>
    <row r="747" spans="1:13" x14ac:dyDescent="0.3">
      <c r="A747" t="s">
        <v>1055</v>
      </c>
      <c r="B747" s="1">
        <v>45884</v>
      </c>
      <c r="C747" t="s">
        <v>651</v>
      </c>
      <c r="D747" t="s">
        <v>40</v>
      </c>
      <c r="E747" t="s">
        <v>51</v>
      </c>
      <c r="F747" t="s">
        <v>27</v>
      </c>
      <c r="G747" t="s">
        <v>17</v>
      </c>
      <c r="H747">
        <v>2</v>
      </c>
      <c r="I747" s="12">
        <v>1007.47</v>
      </c>
      <c r="J747" s="12">
        <v>0.15</v>
      </c>
      <c r="K747" s="9">
        <v>1712.69</v>
      </c>
      <c r="L747" s="9">
        <v>98.05</v>
      </c>
      <c r="M747" s="9">
        <f t="shared" si="11"/>
        <v>302.24099999999999</v>
      </c>
    </row>
    <row r="748" spans="1:13" x14ac:dyDescent="0.3">
      <c r="A748" t="s">
        <v>1056</v>
      </c>
      <c r="B748" s="1">
        <v>45884</v>
      </c>
      <c r="C748" t="s">
        <v>214</v>
      </c>
      <c r="D748" t="s">
        <v>25</v>
      </c>
      <c r="E748" t="s">
        <v>92</v>
      </c>
      <c r="F748" t="s">
        <v>16</v>
      </c>
      <c r="G748" t="s">
        <v>22</v>
      </c>
      <c r="H748">
        <v>2</v>
      </c>
      <c r="I748" s="12">
        <v>8.34</v>
      </c>
      <c r="J748" s="12">
        <v>0.2</v>
      </c>
      <c r="K748" s="9">
        <v>13.34</v>
      </c>
      <c r="L748" s="9">
        <v>0.68</v>
      </c>
      <c r="M748" s="9">
        <f t="shared" si="11"/>
        <v>3.3360000000000003</v>
      </c>
    </row>
    <row r="749" spans="1:13" x14ac:dyDescent="0.3">
      <c r="A749" t="s">
        <v>1057</v>
      </c>
      <c r="B749" s="1">
        <v>45884</v>
      </c>
      <c r="C749" t="s">
        <v>377</v>
      </c>
      <c r="D749" t="s">
        <v>40</v>
      </c>
      <c r="E749" t="s">
        <v>92</v>
      </c>
      <c r="F749" t="s">
        <v>16</v>
      </c>
      <c r="G749" t="s">
        <v>17</v>
      </c>
      <c r="H749">
        <v>4</v>
      </c>
      <c r="I749" s="12">
        <v>9.48</v>
      </c>
      <c r="J749" s="12">
        <v>0.15</v>
      </c>
      <c r="K749" s="9">
        <v>32.229999999999997</v>
      </c>
      <c r="L749" s="9">
        <v>6.45</v>
      </c>
      <c r="M749" s="9">
        <f t="shared" si="11"/>
        <v>5.6879999999999997</v>
      </c>
    </row>
    <row r="750" spans="1:13" x14ac:dyDescent="0.3">
      <c r="A750" t="s">
        <v>1058</v>
      </c>
      <c r="B750" s="1">
        <v>45884</v>
      </c>
      <c r="C750" t="s">
        <v>855</v>
      </c>
      <c r="D750" t="s">
        <v>40</v>
      </c>
      <c r="E750" t="s">
        <v>92</v>
      </c>
      <c r="F750" t="s">
        <v>16</v>
      </c>
      <c r="G750" t="s">
        <v>17</v>
      </c>
      <c r="H750">
        <v>1</v>
      </c>
      <c r="I750" s="12">
        <v>8.23</v>
      </c>
      <c r="J750" s="12">
        <v>0</v>
      </c>
      <c r="K750" s="9">
        <v>8.23</v>
      </c>
      <c r="L750" s="9">
        <v>0.85</v>
      </c>
      <c r="M750" s="9">
        <f t="shared" si="11"/>
        <v>0</v>
      </c>
    </row>
    <row r="751" spans="1:13" x14ac:dyDescent="0.3">
      <c r="A751" t="s">
        <v>1059</v>
      </c>
      <c r="B751" s="1">
        <v>45884</v>
      </c>
      <c r="C751" t="s">
        <v>690</v>
      </c>
      <c r="D751" t="s">
        <v>25</v>
      </c>
      <c r="E751" t="s">
        <v>41</v>
      </c>
      <c r="F751" t="s">
        <v>42</v>
      </c>
      <c r="G751" t="s">
        <v>28</v>
      </c>
      <c r="H751">
        <v>2</v>
      </c>
      <c r="I751" s="12">
        <v>52.96</v>
      </c>
      <c r="J751" s="12">
        <v>0.1</v>
      </c>
      <c r="K751" s="9">
        <v>95.32</v>
      </c>
      <c r="L751" s="9">
        <v>14</v>
      </c>
      <c r="M751" s="9">
        <f t="shared" si="11"/>
        <v>10.592000000000001</v>
      </c>
    </row>
    <row r="752" spans="1:13" x14ac:dyDescent="0.3">
      <c r="A752" t="s">
        <v>1060</v>
      </c>
      <c r="B752" s="1">
        <v>45885</v>
      </c>
      <c r="C752" t="s">
        <v>36</v>
      </c>
      <c r="D752" t="s">
        <v>40</v>
      </c>
      <c r="E752" t="s">
        <v>37</v>
      </c>
      <c r="F752" t="s">
        <v>27</v>
      </c>
      <c r="G752" t="s">
        <v>28</v>
      </c>
      <c r="H752">
        <v>1</v>
      </c>
      <c r="I752" s="12">
        <v>211.59</v>
      </c>
      <c r="J752" s="12">
        <v>0.15</v>
      </c>
      <c r="K752" s="9">
        <v>179.85</v>
      </c>
      <c r="L752" s="9">
        <v>13.8</v>
      </c>
      <c r="M752" s="9">
        <f t="shared" si="11"/>
        <v>31.738499999999998</v>
      </c>
    </row>
    <row r="753" spans="1:13" x14ac:dyDescent="0.3">
      <c r="A753" t="s">
        <v>1061</v>
      </c>
      <c r="B753" s="1">
        <v>45885</v>
      </c>
      <c r="C753" t="s">
        <v>380</v>
      </c>
      <c r="D753" t="s">
        <v>14</v>
      </c>
      <c r="E753" t="s">
        <v>37</v>
      </c>
      <c r="F753" t="s">
        <v>27</v>
      </c>
      <c r="G753" t="s">
        <v>22</v>
      </c>
      <c r="H753">
        <v>1</v>
      </c>
      <c r="I753" s="12">
        <v>211.52</v>
      </c>
      <c r="J753" s="12">
        <v>0.1</v>
      </c>
      <c r="K753" s="9">
        <v>190.37</v>
      </c>
      <c r="L753" s="9">
        <v>21.46</v>
      </c>
      <c r="M753" s="9">
        <f t="shared" si="11"/>
        <v>21.152000000000001</v>
      </c>
    </row>
    <row r="754" spans="1:13" x14ac:dyDescent="0.3">
      <c r="A754" t="s">
        <v>1062</v>
      </c>
      <c r="B754" s="1">
        <v>45885</v>
      </c>
      <c r="C754" t="s">
        <v>394</v>
      </c>
      <c r="D754" t="s">
        <v>25</v>
      </c>
      <c r="E754" t="s">
        <v>31</v>
      </c>
      <c r="F754" t="s">
        <v>21</v>
      </c>
      <c r="G754" t="s">
        <v>17</v>
      </c>
      <c r="H754">
        <v>1</v>
      </c>
      <c r="I754" s="12">
        <v>40.43</v>
      </c>
      <c r="J754" s="12">
        <v>0</v>
      </c>
      <c r="K754" s="9">
        <v>40.43</v>
      </c>
      <c r="L754" s="9">
        <v>10.1</v>
      </c>
      <c r="M754" s="9">
        <f t="shared" si="11"/>
        <v>0</v>
      </c>
    </row>
    <row r="755" spans="1:13" x14ac:dyDescent="0.3">
      <c r="A755" t="s">
        <v>1063</v>
      </c>
      <c r="B755" s="1">
        <v>45885</v>
      </c>
      <c r="C755" t="s">
        <v>58</v>
      </c>
      <c r="D755" t="s">
        <v>40</v>
      </c>
      <c r="E755" t="s">
        <v>31</v>
      </c>
      <c r="F755" t="s">
        <v>21</v>
      </c>
      <c r="G755" t="s">
        <v>32</v>
      </c>
      <c r="H755">
        <v>2</v>
      </c>
      <c r="I755" s="12">
        <v>41</v>
      </c>
      <c r="J755" s="12">
        <v>0</v>
      </c>
      <c r="K755" s="9">
        <v>82</v>
      </c>
      <c r="L755" s="9">
        <v>13.36</v>
      </c>
      <c r="M755" s="9">
        <f t="shared" si="11"/>
        <v>0</v>
      </c>
    </row>
    <row r="756" spans="1:13" x14ac:dyDescent="0.3">
      <c r="A756" t="s">
        <v>1064</v>
      </c>
      <c r="B756" s="1">
        <v>45885</v>
      </c>
      <c r="C756" t="s">
        <v>1065</v>
      </c>
      <c r="D756" t="s">
        <v>14</v>
      </c>
      <c r="E756" t="s">
        <v>54</v>
      </c>
      <c r="F756" t="s">
        <v>27</v>
      </c>
      <c r="G756" t="s">
        <v>28</v>
      </c>
      <c r="H756">
        <v>4</v>
      </c>
      <c r="I756" s="12">
        <v>29.47</v>
      </c>
      <c r="J756" s="12">
        <v>0.1</v>
      </c>
      <c r="K756" s="9">
        <v>106.1</v>
      </c>
      <c r="L756" s="9">
        <v>10.8</v>
      </c>
      <c r="M756" s="9">
        <f t="shared" si="11"/>
        <v>11.788</v>
      </c>
    </row>
    <row r="757" spans="1:13" x14ac:dyDescent="0.3">
      <c r="A757" t="s">
        <v>1066</v>
      </c>
      <c r="B757" s="1">
        <v>45885</v>
      </c>
      <c r="C757" t="s">
        <v>1013</v>
      </c>
      <c r="D757" t="s">
        <v>40</v>
      </c>
      <c r="E757" t="s">
        <v>26</v>
      </c>
      <c r="F757" t="s">
        <v>27</v>
      </c>
      <c r="G757" t="s">
        <v>28</v>
      </c>
      <c r="H757">
        <v>2</v>
      </c>
      <c r="I757" s="12">
        <v>80.38</v>
      </c>
      <c r="J757" s="12">
        <v>0.05</v>
      </c>
      <c r="K757" s="9">
        <v>152.71</v>
      </c>
      <c r="L757" s="9">
        <v>39.72</v>
      </c>
      <c r="M757" s="9">
        <f t="shared" si="11"/>
        <v>8.0380000000000003</v>
      </c>
    </row>
    <row r="758" spans="1:13" x14ac:dyDescent="0.3">
      <c r="A758" t="s">
        <v>1067</v>
      </c>
      <c r="B758" s="1">
        <v>45886</v>
      </c>
      <c r="C758" t="s">
        <v>578</v>
      </c>
      <c r="D758" t="s">
        <v>14</v>
      </c>
      <c r="E758" t="s">
        <v>41</v>
      </c>
      <c r="F758" t="s">
        <v>42</v>
      </c>
      <c r="G758" t="s">
        <v>28</v>
      </c>
      <c r="H758">
        <v>5</v>
      </c>
      <c r="I758" s="12">
        <v>58.46</v>
      </c>
      <c r="J758" s="12">
        <v>0</v>
      </c>
      <c r="K758" s="9">
        <v>292.29000000000002</v>
      </c>
      <c r="L758" s="9">
        <v>39.770000000000003</v>
      </c>
      <c r="M758" s="9">
        <f t="shared" si="11"/>
        <v>0</v>
      </c>
    </row>
    <row r="759" spans="1:13" x14ac:dyDescent="0.3">
      <c r="A759" t="s">
        <v>1068</v>
      </c>
      <c r="B759" s="1">
        <v>45886</v>
      </c>
      <c r="C759" t="s">
        <v>736</v>
      </c>
      <c r="D759" t="s">
        <v>40</v>
      </c>
      <c r="E759" t="s">
        <v>26</v>
      </c>
      <c r="F759" t="s">
        <v>27</v>
      </c>
      <c r="G759" t="s">
        <v>17</v>
      </c>
      <c r="H759">
        <v>2</v>
      </c>
      <c r="I759" s="12">
        <v>78.09</v>
      </c>
      <c r="J759" s="12">
        <v>0</v>
      </c>
      <c r="K759" s="9">
        <v>156.18</v>
      </c>
      <c r="L759" s="9">
        <v>40.97</v>
      </c>
      <c r="M759" s="9">
        <f t="shared" si="11"/>
        <v>0</v>
      </c>
    </row>
    <row r="760" spans="1:13" x14ac:dyDescent="0.3">
      <c r="A760" t="s">
        <v>1069</v>
      </c>
      <c r="B760" s="1">
        <v>45886</v>
      </c>
      <c r="C760" t="s">
        <v>254</v>
      </c>
      <c r="D760" t="s">
        <v>14</v>
      </c>
      <c r="E760" t="s">
        <v>37</v>
      </c>
      <c r="F760" t="s">
        <v>27</v>
      </c>
      <c r="G760" t="s">
        <v>32</v>
      </c>
      <c r="H760">
        <v>3</v>
      </c>
      <c r="I760" s="12">
        <v>189.24</v>
      </c>
      <c r="J760" s="12">
        <v>0.05</v>
      </c>
      <c r="K760" s="9">
        <v>539.34</v>
      </c>
      <c r="L760" s="9">
        <v>83.76</v>
      </c>
      <c r="M760" s="9">
        <f t="shared" si="11"/>
        <v>28.386000000000003</v>
      </c>
    </row>
    <row r="761" spans="1:13" x14ac:dyDescent="0.3">
      <c r="A761" t="s">
        <v>1070</v>
      </c>
      <c r="B761" s="1">
        <v>45886</v>
      </c>
      <c r="C761" t="s">
        <v>514</v>
      </c>
      <c r="D761" t="s">
        <v>25</v>
      </c>
      <c r="E761" t="s">
        <v>20</v>
      </c>
      <c r="F761" t="s">
        <v>21</v>
      </c>
      <c r="G761" t="s">
        <v>22</v>
      </c>
      <c r="H761">
        <v>4</v>
      </c>
      <c r="I761" s="12">
        <v>197.3</v>
      </c>
      <c r="J761" s="12">
        <v>0.1</v>
      </c>
      <c r="K761" s="9">
        <v>710.27</v>
      </c>
      <c r="L761" s="9">
        <v>125.77</v>
      </c>
      <c r="M761" s="9">
        <f t="shared" si="11"/>
        <v>78.920000000000016</v>
      </c>
    </row>
    <row r="762" spans="1:13" x14ac:dyDescent="0.3">
      <c r="A762" t="s">
        <v>1071</v>
      </c>
      <c r="B762" s="1">
        <v>45886</v>
      </c>
      <c r="C762" t="s">
        <v>606</v>
      </c>
      <c r="D762" t="s">
        <v>40</v>
      </c>
      <c r="E762" t="s">
        <v>65</v>
      </c>
      <c r="F762" t="s">
        <v>16</v>
      </c>
      <c r="G762" t="s">
        <v>28</v>
      </c>
      <c r="H762">
        <v>2</v>
      </c>
      <c r="I762" s="12">
        <v>17.09</v>
      </c>
      <c r="J762" s="12">
        <v>0</v>
      </c>
      <c r="K762" s="9">
        <v>34.18</v>
      </c>
      <c r="L762" s="9">
        <v>5.88</v>
      </c>
      <c r="M762" s="9">
        <f t="shared" si="11"/>
        <v>0</v>
      </c>
    </row>
    <row r="763" spans="1:13" x14ac:dyDescent="0.3">
      <c r="A763" t="s">
        <v>1072</v>
      </c>
      <c r="B763" s="1">
        <v>45887</v>
      </c>
      <c r="C763" t="s">
        <v>1073</v>
      </c>
      <c r="D763" t="s">
        <v>25</v>
      </c>
      <c r="E763" t="s">
        <v>54</v>
      </c>
      <c r="F763" t="s">
        <v>27</v>
      </c>
      <c r="G763" t="s">
        <v>32</v>
      </c>
      <c r="H763">
        <v>2</v>
      </c>
      <c r="I763" s="12">
        <v>30.2</v>
      </c>
      <c r="J763" s="12">
        <v>0.05</v>
      </c>
      <c r="K763" s="9">
        <v>57.39</v>
      </c>
      <c r="L763" s="9">
        <v>11.71</v>
      </c>
      <c r="M763" s="9">
        <f t="shared" si="11"/>
        <v>3.02</v>
      </c>
    </row>
    <row r="764" spans="1:13" x14ac:dyDescent="0.3">
      <c r="A764" t="s">
        <v>1074</v>
      </c>
      <c r="B764" s="1">
        <v>45887</v>
      </c>
      <c r="C764" t="s">
        <v>13</v>
      </c>
      <c r="D764" t="s">
        <v>14</v>
      </c>
      <c r="E764" t="s">
        <v>65</v>
      </c>
      <c r="F764" t="s">
        <v>16</v>
      </c>
      <c r="G764" t="s">
        <v>32</v>
      </c>
      <c r="H764">
        <v>2</v>
      </c>
      <c r="I764" s="12">
        <v>17.73</v>
      </c>
      <c r="J764" s="12">
        <v>0</v>
      </c>
      <c r="K764" s="9">
        <v>35.47</v>
      </c>
      <c r="L764" s="9">
        <v>6.76</v>
      </c>
      <c r="M764" s="9">
        <f t="shared" si="11"/>
        <v>0</v>
      </c>
    </row>
    <row r="765" spans="1:13" x14ac:dyDescent="0.3">
      <c r="A765" t="s">
        <v>1075</v>
      </c>
      <c r="B765" s="1">
        <v>45888</v>
      </c>
      <c r="C765" t="s">
        <v>50</v>
      </c>
      <c r="D765" t="s">
        <v>14</v>
      </c>
      <c r="E765" t="s">
        <v>15</v>
      </c>
      <c r="F765" t="s">
        <v>16</v>
      </c>
      <c r="G765" t="s">
        <v>22</v>
      </c>
      <c r="H765">
        <v>1</v>
      </c>
      <c r="I765" s="12">
        <v>13.38</v>
      </c>
      <c r="J765" s="12">
        <v>0.1</v>
      </c>
      <c r="K765" s="9">
        <v>12.04</v>
      </c>
      <c r="L765" s="9">
        <v>2.14</v>
      </c>
      <c r="M765" s="9">
        <f t="shared" si="11"/>
        <v>1.3380000000000001</v>
      </c>
    </row>
    <row r="766" spans="1:13" x14ac:dyDescent="0.3">
      <c r="A766" t="s">
        <v>1076</v>
      </c>
      <c r="B766" s="1">
        <v>45888</v>
      </c>
      <c r="C766" t="s">
        <v>1077</v>
      </c>
      <c r="D766" t="s">
        <v>14</v>
      </c>
      <c r="E766" t="s">
        <v>92</v>
      </c>
      <c r="F766" t="s">
        <v>16</v>
      </c>
      <c r="G766" t="s">
        <v>17</v>
      </c>
      <c r="H766">
        <v>2</v>
      </c>
      <c r="I766" s="12">
        <v>9.81</v>
      </c>
      <c r="J766" s="12">
        <v>0.15</v>
      </c>
      <c r="K766" s="9">
        <v>16.68</v>
      </c>
      <c r="L766" s="9">
        <v>2.94</v>
      </c>
      <c r="M766" s="9">
        <f t="shared" si="11"/>
        <v>2.9430000000000001</v>
      </c>
    </row>
    <row r="767" spans="1:13" x14ac:dyDescent="0.3">
      <c r="A767" t="s">
        <v>1078</v>
      </c>
      <c r="B767" s="1">
        <v>45889</v>
      </c>
      <c r="C767" t="s">
        <v>606</v>
      </c>
      <c r="D767" t="s">
        <v>40</v>
      </c>
      <c r="E767" t="s">
        <v>20</v>
      </c>
      <c r="F767" t="s">
        <v>21</v>
      </c>
      <c r="G767" t="s">
        <v>22</v>
      </c>
      <c r="H767">
        <v>3</v>
      </c>
      <c r="I767" s="12">
        <v>180.45</v>
      </c>
      <c r="J767" s="12">
        <v>0</v>
      </c>
      <c r="K767" s="9">
        <v>541.34</v>
      </c>
      <c r="L767" s="9">
        <v>54.59</v>
      </c>
      <c r="M767" s="9">
        <f t="shared" si="11"/>
        <v>0</v>
      </c>
    </row>
    <row r="768" spans="1:13" x14ac:dyDescent="0.3">
      <c r="A768" t="s">
        <v>1079</v>
      </c>
      <c r="B768" s="1">
        <v>45890</v>
      </c>
      <c r="C768" t="s">
        <v>287</v>
      </c>
      <c r="D768" t="s">
        <v>14</v>
      </c>
      <c r="E768" t="s">
        <v>65</v>
      </c>
      <c r="F768" t="s">
        <v>16</v>
      </c>
      <c r="G768" t="s">
        <v>28</v>
      </c>
      <c r="H768">
        <v>1</v>
      </c>
      <c r="I768" s="12">
        <v>19.54</v>
      </c>
      <c r="J768" s="12">
        <v>0.05</v>
      </c>
      <c r="K768" s="9">
        <v>18.559999999999999</v>
      </c>
      <c r="L768" s="9">
        <v>3.92</v>
      </c>
      <c r="M768" s="9">
        <f t="shared" si="11"/>
        <v>0.97699999999999998</v>
      </c>
    </row>
    <row r="769" spans="1:13" x14ac:dyDescent="0.3">
      <c r="A769" t="s">
        <v>1080</v>
      </c>
      <c r="B769" s="1">
        <v>45890</v>
      </c>
      <c r="C769" t="s">
        <v>197</v>
      </c>
      <c r="D769" t="s">
        <v>14</v>
      </c>
      <c r="E769" t="s">
        <v>31</v>
      </c>
      <c r="F769" t="s">
        <v>21</v>
      </c>
      <c r="G769" t="s">
        <v>22</v>
      </c>
      <c r="H769">
        <v>1</v>
      </c>
      <c r="I769" s="12">
        <v>39.200000000000003</v>
      </c>
      <c r="J769" s="12">
        <v>0.1</v>
      </c>
      <c r="K769" s="9">
        <v>35.28</v>
      </c>
      <c r="L769" s="9">
        <v>6.81</v>
      </c>
      <c r="M769" s="9">
        <f t="shared" si="11"/>
        <v>3.9200000000000004</v>
      </c>
    </row>
    <row r="770" spans="1:13" x14ac:dyDescent="0.3">
      <c r="A770" t="s">
        <v>1081</v>
      </c>
      <c r="B770" s="1">
        <v>45890</v>
      </c>
      <c r="C770" t="s">
        <v>671</v>
      </c>
      <c r="D770" t="s">
        <v>40</v>
      </c>
      <c r="E770" t="s">
        <v>54</v>
      </c>
      <c r="F770" t="s">
        <v>27</v>
      </c>
      <c r="G770" t="s">
        <v>17</v>
      </c>
      <c r="H770">
        <v>4</v>
      </c>
      <c r="I770" s="12">
        <v>30.45</v>
      </c>
      <c r="J770" s="12">
        <v>0</v>
      </c>
      <c r="K770" s="9">
        <v>121.79</v>
      </c>
      <c r="L770" s="9">
        <v>26.5</v>
      </c>
      <c r="M770" s="9">
        <f t="shared" si="11"/>
        <v>0</v>
      </c>
    </row>
    <row r="771" spans="1:13" x14ac:dyDescent="0.3">
      <c r="A771" t="s">
        <v>1082</v>
      </c>
      <c r="B771" s="1">
        <v>45890</v>
      </c>
      <c r="C771" t="s">
        <v>990</v>
      </c>
      <c r="D771" t="s">
        <v>40</v>
      </c>
      <c r="E771" t="s">
        <v>110</v>
      </c>
      <c r="F771" t="s">
        <v>42</v>
      </c>
      <c r="G771" t="s">
        <v>32</v>
      </c>
      <c r="H771">
        <v>2</v>
      </c>
      <c r="I771" s="12">
        <v>21.47</v>
      </c>
      <c r="J771" s="12">
        <v>0</v>
      </c>
      <c r="K771" s="9">
        <v>42.95</v>
      </c>
      <c r="L771" s="9">
        <v>4.3499999999999996</v>
      </c>
      <c r="M771" s="9">
        <f t="shared" ref="M771:M834" si="12">H771*I771*J771</f>
        <v>0</v>
      </c>
    </row>
    <row r="772" spans="1:13" x14ac:dyDescent="0.3">
      <c r="A772" t="s">
        <v>1083</v>
      </c>
      <c r="B772" s="1">
        <v>45890</v>
      </c>
      <c r="C772" t="s">
        <v>240</v>
      </c>
      <c r="D772" t="s">
        <v>40</v>
      </c>
      <c r="E772" t="s">
        <v>15</v>
      </c>
      <c r="F772" t="s">
        <v>16</v>
      </c>
      <c r="G772" t="s">
        <v>17</v>
      </c>
      <c r="H772">
        <v>1</v>
      </c>
      <c r="I772" s="12">
        <v>14.58</v>
      </c>
      <c r="J772" s="12">
        <v>0</v>
      </c>
      <c r="K772" s="9">
        <v>14.58</v>
      </c>
      <c r="L772" s="9">
        <v>3.45</v>
      </c>
      <c r="M772" s="9">
        <f t="shared" si="12"/>
        <v>0</v>
      </c>
    </row>
    <row r="773" spans="1:13" x14ac:dyDescent="0.3">
      <c r="A773" t="s">
        <v>1084</v>
      </c>
      <c r="B773" s="1">
        <v>45891</v>
      </c>
      <c r="C773" t="s">
        <v>299</v>
      </c>
      <c r="D773" t="s">
        <v>25</v>
      </c>
      <c r="E773" t="s">
        <v>51</v>
      </c>
      <c r="F773" t="s">
        <v>27</v>
      </c>
      <c r="G773" t="s">
        <v>28</v>
      </c>
      <c r="H773">
        <v>4</v>
      </c>
      <c r="I773" s="12">
        <v>922.68</v>
      </c>
      <c r="J773" s="12">
        <v>0.05</v>
      </c>
      <c r="K773" s="9">
        <v>3506.18</v>
      </c>
      <c r="L773" s="9">
        <v>257.7</v>
      </c>
      <c r="M773" s="9">
        <f t="shared" si="12"/>
        <v>184.536</v>
      </c>
    </row>
    <row r="774" spans="1:13" x14ac:dyDescent="0.3">
      <c r="A774" t="s">
        <v>1085</v>
      </c>
      <c r="B774" s="1">
        <v>45891</v>
      </c>
      <c r="C774" t="s">
        <v>585</v>
      </c>
      <c r="D774" t="s">
        <v>25</v>
      </c>
      <c r="E774" t="s">
        <v>56</v>
      </c>
      <c r="F774" t="s">
        <v>21</v>
      </c>
      <c r="G774" t="s">
        <v>22</v>
      </c>
      <c r="H774">
        <v>1</v>
      </c>
      <c r="I774" s="12">
        <v>322.01</v>
      </c>
      <c r="J774" s="12">
        <v>0</v>
      </c>
      <c r="K774" s="9">
        <v>322.01</v>
      </c>
      <c r="L774" s="9">
        <v>48.53</v>
      </c>
      <c r="M774" s="9">
        <f t="shared" si="12"/>
        <v>0</v>
      </c>
    </row>
    <row r="775" spans="1:13" x14ac:dyDescent="0.3">
      <c r="A775" t="s">
        <v>1086</v>
      </c>
      <c r="B775" s="1">
        <v>45891</v>
      </c>
      <c r="C775" t="s">
        <v>112</v>
      </c>
      <c r="D775" t="s">
        <v>14</v>
      </c>
      <c r="E775" t="s">
        <v>92</v>
      </c>
      <c r="F775" t="s">
        <v>16</v>
      </c>
      <c r="G775" t="s">
        <v>17</v>
      </c>
      <c r="H775">
        <v>2</v>
      </c>
      <c r="I775" s="12">
        <v>9.43</v>
      </c>
      <c r="J775" s="12">
        <v>0</v>
      </c>
      <c r="K775" s="9">
        <v>18.86</v>
      </c>
      <c r="L775" s="9">
        <v>4.74</v>
      </c>
      <c r="M775" s="9">
        <f t="shared" si="12"/>
        <v>0</v>
      </c>
    </row>
    <row r="776" spans="1:13" x14ac:dyDescent="0.3">
      <c r="A776" t="s">
        <v>1087</v>
      </c>
      <c r="B776" s="1">
        <v>45891</v>
      </c>
      <c r="C776" t="s">
        <v>1088</v>
      </c>
      <c r="D776" t="s">
        <v>40</v>
      </c>
      <c r="E776" t="s">
        <v>65</v>
      </c>
      <c r="F776" t="s">
        <v>16</v>
      </c>
      <c r="G776" t="s">
        <v>32</v>
      </c>
      <c r="H776">
        <v>2</v>
      </c>
      <c r="I776" s="12">
        <v>19.64</v>
      </c>
      <c r="J776" s="12">
        <v>0.1</v>
      </c>
      <c r="K776" s="9">
        <v>35.35</v>
      </c>
      <c r="L776" s="9">
        <v>8.36</v>
      </c>
      <c r="M776" s="9">
        <f t="shared" si="12"/>
        <v>3.9280000000000004</v>
      </c>
    </row>
    <row r="777" spans="1:13" x14ac:dyDescent="0.3">
      <c r="A777" t="s">
        <v>1089</v>
      </c>
      <c r="B777" s="1">
        <v>45892</v>
      </c>
      <c r="C777" t="s">
        <v>419</v>
      </c>
      <c r="D777" t="s">
        <v>14</v>
      </c>
      <c r="E777" t="s">
        <v>51</v>
      </c>
      <c r="F777" t="s">
        <v>27</v>
      </c>
      <c r="G777" t="s">
        <v>32</v>
      </c>
      <c r="H777">
        <v>4</v>
      </c>
      <c r="I777" s="12">
        <v>896.05</v>
      </c>
      <c r="J777" s="12">
        <v>0.1</v>
      </c>
      <c r="K777" s="9">
        <v>3225.78</v>
      </c>
      <c r="L777" s="9">
        <v>471.19</v>
      </c>
      <c r="M777" s="9">
        <f t="shared" si="12"/>
        <v>358.42</v>
      </c>
    </row>
    <row r="778" spans="1:13" x14ac:dyDescent="0.3">
      <c r="A778" t="s">
        <v>1090</v>
      </c>
      <c r="B778" s="1">
        <v>45892</v>
      </c>
      <c r="C778" t="s">
        <v>130</v>
      </c>
      <c r="D778" t="s">
        <v>40</v>
      </c>
      <c r="E778" t="s">
        <v>37</v>
      </c>
      <c r="F778" t="s">
        <v>27</v>
      </c>
      <c r="G778" t="s">
        <v>17</v>
      </c>
      <c r="H778">
        <v>1</v>
      </c>
      <c r="I778" s="12">
        <v>192.76</v>
      </c>
      <c r="J778" s="12">
        <v>0</v>
      </c>
      <c r="K778" s="9">
        <v>192.76</v>
      </c>
      <c r="L778" s="9">
        <v>32.14</v>
      </c>
      <c r="M778" s="9">
        <f t="shared" si="12"/>
        <v>0</v>
      </c>
    </row>
    <row r="779" spans="1:13" x14ac:dyDescent="0.3">
      <c r="A779" t="s">
        <v>1091</v>
      </c>
      <c r="B779" s="1">
        <v>45892</v>
      </c>
      <c r="C779" t="s">
        <v>808</v>
      </c>
      <c r="D779" t="s">
        <v>14</v>
      </c>
      <c r="E779" t="s">
        <v>92</v>
      </c>
      <c r="F779" t="s">
        <v>16</v>
      </c>
      <c r="G779" t="s">
        <v>17</v>
      </c>
      <c r="H779">
        <v>1</v>
      </c>
      <c r="I779" s="12">
        <v>8.39</v>
      </c>
      <c r="J779" s="12">
        <v>0.05</v>
      </c>
      <c r="K779" s="9">
        <v>7.97</v>
      </c>
      <c r="L779" s="9">
        <v>1.57</v>
      </c>
      <c r="M779" s="9">
        <f t="shared" si="12"/>
        <v>0.41950000000000004</v>
      </c>
    </row>
    <row r="780" spans="1:13" x14ac:dyDescent="0.3">
      <c r="A780" t="s">
        <v>1092</v>
      </c>
      <c r="B780" s="1">
        <v>45893</v>
      </c>
      <c r="C780" t="s">
        <v>1093</v>
      </c>
      <c r="D780" t="s">
        <v>25</v>
      </c>
      <c r="E780" t="s">
        <v>54</v>
      </c>
      <c r="F780" t="s">
        <v>27</v>
      </c>
      <c r="G780" t="s">
        <v>32</v>
      </c>
      <c r="H780">
        <v>2</v>
      </c>
      <c r="I780" s="12">
        <v>29.26</v>
      </c>
      <c r="J780" s="12">
        <v>0</v>
      </c>
      <c r="K780" s="9">
        <v>58.52</v>
      </c>
      <c r="L780" s="9">
        <v>14.47</v>
      </c>
      <c r="M780" s="9">
        <f t="shared" si="12"/>
        <v>0</v>
      </c>
    </row>
    <row r="781" spans="1:13" x14ac:dyDescent="0.3">
      <c r="A781" t="s">
        <v>1094</v>
      </c>
      <c r="B781" s="1">
        <v>45893</v>
      </c>
      <c r="C781" t="s">
        <v>959</v>
      </c>
      <c r="D781" t="s">
        <v>40</v>
      </c>
      <c r="E781" t="s">
        <v>110</v>
      </c>
      <c r="F781" t="s">
        <v>42</v>
      </c>
      <c r="G781" t="s">
        <v>17</v>
      </c>
      <c r="H781">
        <v>1</v>
      </c>
      <c r="I781" s="12">
        <v>23</v>
      </c>
      <c r="J781" s="12">
        <v>0.05</v>
      </c>
      <c r="K781" s="9">
        <v>21.85</v>
      </c>
      <c r="L781" s="9">
        <v>1.94</v>
      </c>
      <c r="M781" s="9">
        <f t="shared" si="12"/>
        <v>1.1500000000000001</v>
      </c>
    </row>
    <row r="782" spans="1:13" x14ac:dyDescent="0.3">
      <c r="A782" t="s">
        <v>1095</v>
      </c>
      <c r="B782" s="1">
        <v>45894</v>
      </c>
      <c r="C782" t="s">
        <v>13</v>
      </c>
      <c r="D782" t="s">
        <v>14</v>
      </c>
      <c r="E782" t="s">
        <v>20</v>
      </c>
      <c r="F782" t="s">
        <v>21</v>
      </c>
      <c r="G782" t="s">
        <v>17</v>
      </c>
      <c r="H782">
        <v>5</v>
      </c>
      <c r="I782" s="12">
        <v>164.42</v>
      </c>
      <c r="J782" s="12">
        <v>0</v>
      </c>
      <c r="K782" s="9">
        <v>822.1</v>
      </c>
      <c r="L782" s="9">
        <v>163.57</v>
      </c>
      <c r="M782" s="9">
        <f t="shared" si="12"/>
        <v>0</v>
      </c>
    </row>
    <row r="783" spans="1:13" x14ac:dyDescent="0.3">
      <c r="A783" t="s">
        <v>1096</v>
      </c>
      <c r="B783" s="1">
        <v>45894</v>
      </c>
      <c r="C783" t="s">
        <v>573</v>
      </c>
      <c r="D783" t="s">
        <v>25</v>
      </c>
      <c r="E783" t="s">
        <v>31</v>
      </c>
      <c r="F783" t="s">
        <v>21</v>
      </c>
      <c r="G783" t="s">
        <v>22</v>
      </c>
      <c r="H783">
        <v>5</v>
      </c>
      <c r="I783" s="12">
        <v>40.79</v>
      </c>
      <c r="J783" s="12">
        <v>0</v>
      </c>
      <c r="K783" s="9">
        <v>203.94</v>
      </c>
      <c r="L783" s="9">
        <v>25</v>
      </c>
      <c r="M783" s="9">
        <f t="shared" si="12"/>
        <v>0</v>
      </c>
    </row>
    <row r="784" spans="1:13" x14ac:dyDescent="0.3">
      <c r="A784" t="s">
        <v>1097</v>
      </c>
      <c r="B784" s="1">
        <v>45894</v>
      </c>
      <c r="C784" t="s">
        <v>302</v>
      </c>
      <c r="D784" t="s">
        <v>14</v>
      </c>
      <c r="E784" t="s">
        <v>92</v>
      </c>
      <c r="F784" t="s">
        <v>16</v>
      </c>
      <c r="G784" t="s">
        <v>28</v>
      </c>
      <c r="H784">
        <v>1</v>
      </c>
      <c r="I784" s="12">
        <v>9.73</v>
      </c>
      <c r="J784" s="12">
        <v>0</v>
      </c>
      <c r="K784" s="9">
        <v>9.73</v>
      </c>
      <c r="L784" s="9">
        <v>2.04</v>
      </c>
      <c r="M784" s="9">
        <f t="shared" si="12"/>
        <v>0</v>
      </c>
    </row>
    <row r="785" spans="1:13" x14ac:dyDescent="0.3">
      <c r="A785" t="s">
        <v>1098</v>
      </c>
      <c r="B785" s="1">
        <v>45894</v>
      </c>
      <c r="C785" t="s">
        <v>1003</v>
      </c>
      <c r="D785" t="s">
        <v>25</v>
      </c>
      <c r="E785" t="s">
        <v>15</v>
      </c>
      <c r="F785" t="s">
        <v>16</v>
      </c>
      <c r="G785" t="s">
        <v>28</v>
      </c>
      <c r="H785">
        <v>1</v>
      </c>
      <c r="I785" s="12">
        <v>13.14</v>
      </c>
      <c r="J785" s="12">
        <v>0</v>
      </c>
      <c r="K785" s="9">
        <v>13.14</v>
      </c>
      <c r="L785" s="9">
        <v>3.21</v>
      </c>
      <c r="M785" s="9">
        <f t="shared" si="12"/>
        <v>0</v>
      </c>
    </row>
    <row r="786" spans="1:13" x14ac:dyDescent="0.3">
      <c r="A786" t="s">
        <v>1099</v>
      </c>
      <c r="B786" s="1">
        <v>45894</v>
      </c>
      <c r="C786" t="s">
        <v>295</v>
      </c>
      <c r="D786" t="s">
        <v>40</v>
      </c>
      <c r="E786" t="s">
        <v>37</v>
      </c>
      <c r="F786" t="s">
        <v>27</v>
      </c>
      <c r="G786" t="s">
        <v>32</v>
      </c>
      <c r="H786">
        <v>1</v>
      </c>
      <c r="I786" s="12">
        <v>198.2</v>
      </c>
      <c r="J786" s="12">
        <v>0</v>
      </c>
      <c r="K786" s="9">
        <v>198.2</v>
      </c>
      <c r="L786" s="9">
        <v>17.309999999999999</v>
      </c>
      <c r="M786" s="9">
        <f t="shared" si="12"/>
        <v>0</v>
      </c>
    </row>
    <row r="787" spans="1:13" x14ac:dyDescent="0.3">
      <c r="A787" t="s">
        <v>1100</v>
      </c>
      <c r="B787" s="1">
        <v>45894</v>
      </c>
      <c r="C787" t="s">
        <v>372</v>
      </c>
      <c r="D787" t="s">
        <v>25</v>
      </c>
      <c r="E787" t="s">
        <v>110</v>
      </c>
      <c r="F787" t="s">
        <v>42</v>
      </c>
      <c r="G787" t="s">
        <v>32</v>
      </c>
      <c r="H787">
        <v>2</v>
      </c>
      <c r="I787" s="12">
        <v>23.67</v>
      </c>
      <c r="J787" s="12">
        <v>0.1</v>
      </c>
      <c r="K787" s="9">
        <v>42.61</v>
      </c>
      <c r="L787" s="9">
        <v>7.9</v>
      </c>
      <c r="M787" s="9">
        <f t="shared" si="12"/>
        <v>4.7340000000000009</v>
      </c>
    </row>
    <row r="788" spans="1:13" x14ac:dyDescent="0.3">
      <c r="A788" t="s">
        <v>1101</v>
      </c>
      <c r="B788" s="1">
        <v>45894</v>
      </c>
      <c r="C788" t="s">
        <v>571</v>
      </c>
      <c r="D788" t="s">
        <v>40</v>
      </c>
      <c r="E788" t="s">
        <v>54</v>
      </c>
      <c r="F788" t="s">
        <v>27</v>
      </c>
      <c r="G788" t="s">
        <v>17</v>
      </c>
      <c r="H788">
        <v>5</v>
      </c>
      <c r="I788" s="12">
        <v>26.75</v>
      </c>
      <c r="J788" s="12">
        <v>0.1</v>
      </c>
      <c r="K788" s="9">
        <v>120.36</v>
      </c>
      <c r="L788" s="9">
        <v>14.66</v>
      </c>
      <c r="M788" s="9">
        <f t="shared" si="12"/>
        <v>13.375</v>
      </c>
    </row>
    <row r="789" spans="1:13" x14ac:dyDescent="0.3">
      <c r="A789" t="s">
        <v>1102</v>
      </c>
      <c r="B789" s="1">
        <v>45895</v>
      </c>
      <c r="C789" t="s">
        <v>1103</v>
      </c>
      <c r="D789" t="s">
        <v>14</v>
      </c>
      <c r="E789" t="s">
        <v>110</v>
      </c>
      <c r="F789" t="s">
        <v>42</v>
      </c>
      <c r="G789" t="s">
        <v>32</v>
      </c>
      <c r="H789">
        <v>1</v>
      </c>
      <c r="I789" s="12">
        <v>22.94</v>
      </c>
      <c r="J789" s="12">
        <v>0.05</v>
      </c>
      <c r="K789" s="9">
        <v>21.79</v>
      </c>
      <c r="L789" s="9">
        <v>5.6</v>
      </c>
      <c r="M789" s="9">
        <f t="shared" si="12"/>
        <v>1.147</v>
      </c>
    </row>
    <row r="790" spans="1:13" x14ac:dyDescent="0.3">
      <c r="A790" t="s">
        <v>1104</v>
      </c>
      <c r="B790" s="1">
        <v>45895</v>
      </c>
      <c r="C790" t="s">
        <v>1105</v>
      </c>
      <c r="D790" t="s">
        <v>14</v>
      </c>
      <c r="E790" t="s">
        <v>15</v>
      </c>
      <c r="F790" t="s">
        <v>16</v>
      </c>
      <c r="G790" t="s">
        <v>22</v>
      </c>
      <c r="H790">
        <v>2</v>
      </c>
      <c r="I790" s="12">
        <v>13.89</v>
      </c>
      <c r="J790" s="12">
        <v>0</v>
      </c>
      <c r="K790" s="9">
        <v>27.77</v>
      </c>
      <c r="L790" s="9">
        <v>3.92</v>
      </c>
      <c r="M790" s="9">
        <f t="shared" si="12"/>
        <v>0</v>
      </c>
    </row>
    <row r="791" spans="1:13" x14ac:dyDescent="0.3">
      <c r="A791" t="s">
        <v>1106</v>
      </c>
      <c r="B791" s="1">
        <v>45895</v>
      </c>
      <c r="C791" t="s">
        <v>259</v>
      </c>
      <c r="D791" t="s">
        <v>14</v>
      </c>
      <c r="E791" t="s">
        <v>110</v>
      </c>
      <c r="F791" t="s">
        <v>42</v>
      </c>
      <c r="G791" t="s">
        <v>22</v>
      </c>
      <c r="H791">
        <v>1</v>
      </c>
      <c r="I791" s="12">
        <v>21.01</v>
      </c>
      <c r="J791" s="12">
        <v>0.15</v>
      </c>
      <c r="K791" s="9">
        <v>17.86</v>
      </c>
      <c r="L791" s="9">
        <v>1.48</v>
      </c>
      <c r="M791" s="9">
        <f t="shared" si="12"/>
        <v>3.1515</v>
      </c>
    </row>
    <row r="792" spans="1:13" x14ac:dyDescent="0.3">
      <c r="A792" t="s">
        <v>1107</v>
      </c>
      <c r="B792" s="1">
        <v>45895</v>
      </c>
      <c r="C792" t="s">
        <v>481</v>
      </c>
      <c r="D792" t="s">
        <v>14</v>
      </c>
      <c r="E792" t="s">
        <v>15</v>
      </c>
      <c r="F792" t="s">
        <v>16</v>
      </c>
      <c r="G792" t="s">
        <v>17</v>
      </c>
      <c r="H792">
        <v>2</v>
      </c>
      <c r="I792" s="12">
        <v>14.32</v>
      </c>
      <c r="J792" s="12">
        <v>0</v>
      </c>
      <c r="K792" s="9">
        <v>28.64</v>
      </c>
      <c r="L792" s="9">
        <v>4.37</v>
      </c>
      <c r="M792" s="9">
        <f t="shared" si="12"/>
        <v>0</v>
      </c>
    </row>
    <row r="793" spans="1:13" x14ac:dyDescent="0.3">
      <c r="A793" t="s">
        <v>1108</v>
      </c>
      <c r="B793" s="1">
        <v>45895</v>
      </c>
      <c r="C793" t="s">
        <v>1109</v>
      </c>
      <c r="D793" t="s">
        <v>40</v>
      </c>
      <c r="E793" t="s">
        <v>56</v>
      </c>
      <c r="F793" t="s">
        <v>21</v>
      </c>
      <c r="G793" t="s">
        <v>28</v>
      </c>
      <c r="H793">
        <v>4</v>
      </c>
      <c r="I793" s="12">
        <v>320.11</v>
      </c>
      <c r="J793" s="12">
        <v>0.05</v>
      </c>
      <c r="K793" s="9">
        <v>1216.4000000000001</v>
      </c>
      <c r="L793" s="9">
        <v>239.03</v>
      </c>
      <c r="M793" s="9">
        <f t="shared" si="12"/>
        <v>64.022000000000006</v>
      </c>
    </row>
    <row r="794" spans="1:13" x14ac:dyDescent="0.3">
      <c r="A794" t="s">
        <v>1110</v>
      </c>
      <c r="B794" s="1">
        <v>45895</v>
      </c>
      <c r="C794" t="s">
        <v>1111</v>
      </c>
      <c r="D794" t="s">
        <v>14</v>
      </c>
      <c r="E794" t="s">
        <v>37</v>
      </c>
      <c r="F794" t="s">
        <v>27</v>
      </c>
      <c r="G794" t="s">
        <v>17</v>
      </c>
      <c r="H794">
        <v>4</v>
      </c>
      <c r="I794" s="12">
        <v>205.27</v>
      </c>
      <c r="J794" s="12">
        <v>0.05</v>
      </c>
      <c r="K794" s="9">
        <v>780.01</v>
      </c>
      <c r="L794" s="9">
        <v>156.88</v>
      </c>
      <c r="M794" s="9">
        <f t="shared" si="12"/>
        <v>41.054000000000002</v>
      </c>
    </row>
    <row r="795" spans="1:13" x14ac:dyDescent="0.3">
      <c r="A795" t="s">
        <v>1112</v>
      </c>
      <c r="B795" s="1">
        <v>45896</v>
      </c>
      <c r="C795" t="s">
        <v>959</v>
      </c>
      <c r="D795" t="s">
        <v>25</v>
      </c>
      <c r="E795" t="s">
        <v>41</v>
      </c>
      <c r="F795" t="s">
        <v>42</v>
      </c>
      <c r="G795" t="s">
        <v>22</v>
      </c>
      <c r="H795">
        <v>4</v>
      </c>
      <c r="I795" s="12">
        <v>54.19</v>
      </c>
      <c r="J795" s="12">
        <v>0.15</v>
      </c>
      <c r="K795" s="9">
        <v>184.24</v>
      </c>
      <c r="L795" s="9">
        <v>17.149999999999999</v>
      </c>
      <c r="M795" s="9">
        <f t="shared" si="12"/>
        <v>32.513999999999996</v>
      </c>
    </row>
    <row r="796" spans="1:13" x14ac:dyDescent="0.3">
      <c r="A796" t="s">
        <v>1113</v>
      </c>
      <c r="B796" s="1">
        <v>45896</v>
      </c>
      <c r="C796" t="s">
        <v>442</v>
      </c>
      <c r="D796" t="s">
        <v>25</v>
      </c>
      <c r="E796" t="s">
        <v>37</v>
      </c>
      <c r="F796" t="s">
        <v>27</v>
      </c>
      <c r="G796" t="s">
        <v>32</v>
      </c>
      <c r="H796">
        <v>4</v>
      </c>
      <c r="I796" s="12">
        <v>195.5</v>
      </c>
      <c r="J796" s="12">
        <v>0.2</v>
      </c>
      <c r="K796" s="9">
        <v>625.59</v>
      </c>
      <c r="L796" s="9">
        <v>100.37</v>
      </c>
      <c r="M796" s="9">
        <f t="shared" si="12"/>
        <v>156.4</v>
      </c>
    </row>
    <row r="797" spans="1:13" x14ac:dyDescent="0.3">
      <c r="A797" t="s">
        <v>1114</v>
      </c>
      <c r="B797" s="1">
        <v>45896</v>
      </c>
      <c r="C797" t="s">
        <v>587</v>
      </c>
      <c r="D797" t="s">
        <v>40</v>
      </c>
      <c r="E797" t="s">
        <v>51</v>
      </c>
      <c r="F797" t="s">
        <v>27</v>
      </c>
      <c r="G797" t="s">
        <v>17</v>
      </c>
      <c r="H797">
        <v>2</v>
      </c>
      <c r="I797" s="12">
        <v>963.13</v>
      </c>
      <c r="J797" s="12">
        <v>0.15</v>
      </c>
      <c r="K797" s="9">
        <v>1637.31</v>
      </c>
      <c r="L797" s="9">
        <v>113.59</v>
      </c>
      <c r="M797" s="9">
        <f t="shared" si="12"/>
        <v>288.93899999999996</v>
      </c>
    </row>
    <row r="798" spans="1:13" x14ac:dyDescent="0.3">
      <c r="A798" t="s">
        <v>1115</v>
      </c>
      <c r="B798" s="1">
        <v>45896</v>
      </c>
      <c r="C798" t="s">
        <v>372</v>
      </c>
      <c r="D798" t="s">
        <v>40</v>
      </c>
      <c r="E798" t="s">
        <v>20</v>
      </c>
      <c r="F798" t="s">
        <v>21</v>
      </c>
      <c r="G798" t="s">
        <v>17</v>
      </c>
      <c r="H798">
        <v>2</v>
      </c>
      <c r="I798" s="12">
        <v>177.47</v>
      </c>
      <c r="J798" s="12">
        <v>0.05</v>
      </c>
      <c r="K798" s="9">
        <v>337.19</v>
      </c>
      <c r="L798" s="9">
        <v>72.209999999999994</v>
      </c>
      <c r="M798" s="9">
        <f t="shared" si="12"/>
        <v>17.747</v>
      </c>
    </row>
    <row r="799" spans="1:13" x14ac:dyDescent="0.3">
      <c r="A799" t="s">
        <v>1116</v>
      </c>
      <c r="B799" s="1">
        <v>45897</v>
      </c>
      <c r="C799" t="s">
        <v>290</v>
      </c>
      <c r="D799" t="s">
        <v>14</v>
      </c>
      <c r="E799" t="s">
        <v>110</v>
      </c>
      <c r="F799" t="s">
        <v>42</v>
      </c>
      <c r="G799" t="s">
        <v>22</v>
      </c>
      <c r="H799">
        <v>2</v>
      </c>
      <c r="I799" s="12">
        <v>20.100000000000001</v>
      </c>
      <c r="J799" s="12">
        <v>0.1</v>
      </c>
      <c r="K799" s="9">
        <v>36.17</v>
      </c>
      <c r="L799" s="9">
        <v>6.23</v>
      </c>
      <c r="M799" s="9">
        <f t="shared" si="12"/>
        <v>4.0200000000000005</v>
      </c>
    </row>
    <row r="800" spans="1:13" x14ac:dyDescent="0.3">
      <c r="A800" t="s">
        <v>1117</v>
      </c>
      <c r="B800" s="1">
        <v>45897</v>
      </c>
      <c r="C800" t="s">
        <v>34</v>
      </c>
      <c r="D800" t="s">
        <v>40</v>
      </c>
      <c r="E800" t="s">
        <v>65</v>
      </c>
      <c r="F800" t="s">
        <v>16</v>
      </c>
      <c r="G800" t="s">
        <v>17</v>
      </c>
      <c r="H800">
        <v>1</v>
      </c>
      <c r="I800" s="12">
        <v>19.45</v>
      </c>
      <c r="J800" s="12">
        <v>0.05</v>
      </c>
      <c r="K800" s="9">
        <v>18.48</v>
      </c>
      <c r="L800" s="9">
        <v>1.41</v>
      </c>
      <c r="M800" s="9">
        <f t="shared" si="12"/>
        <v>0.97250000000000003</v>
      </c>
    </row>
    <row r="801" spans="1:13" x14ac:dyDescent="0.3">
      <c r="A801" t="s">
        <v>1118</v>
      </c>
      <c r="B801" s="1">
        <v>45898</v>
      </c>
      <c r="C801" t="s">
        <v>404</v>
      </c>
      <c r="D801" t="s">
        <v>40</v>
      </c>
      <c r="E801" t="s">
        <v>110</v>
      </c>
      <c r="F801" t="s">
        <v>42</v>
      </c>
      <c r="G801" t="s">
        <v>17</v>
      </c>
      <c r="H801">
        <v>3</v>
      </c>
      <c r="I801" s="12">
        <v>23.39</v>
      </c>
      <c r="J801" s="12">
        <v>0</v>
      </c>
      <c r="K801" s="9">
        <v>70.17</v>
      </c>
      <c r="L801" s="9">
        <v>8.76</v>
      </c>
      <c r="M801" s="9">
        <f t="shared" si="12"/>
        <v>0</v>
      </c>
    </row>
    <row r="802" spans="1:13" x14ac:dyDescent="0.3">
      <c r="A802" t="s">
        <v>1119</v>
      </c>
      <c r="B802" s="1">
        <v>45898</v>
      </c>
      <c r="C802" t="s">
        <v>736</v>
      </c>
      <c r="D802" t="s">
        <v>14</v>
      </c>
      <c r="E802" t="s">
        <v>20</v>
      </c>
      <c r="F802" t="s">
        <v>21</v>
      </c>
      <c r="G802" t="s">
        <v>28</v>
      </c>
      <c r="H802">
        <v>1</v>
      </c>
      <c r="I802" s="12">
        <v>178.48</v>
      </c>
      <c r="J802" s="12">
        <v>0</v>
      </c>
      <c r="K802" s="9">
        <v>178.48</v>
      </c>
      <c r="L802" s="9">
        <v>41.39</v>
      </c>
      <c r="M802" s="9">
        <f t="shared" si="12"/>
        <v>0</v>
      </c>
    </row>
    <row r="803" spans="1:13" x14ac:dyDescent="0.3">
      <c r="A803" t="s">
        <v>1120</v>
      </c>
      <c r="B803" s="1">
        <v>45898</v>
      </c>
      <c r="C803" t="s">
        <v>500</v>
      </c>
      <c r="D803" t="s">
        <v>14</v>
      </c>
      <c r="E803" t="s">
        <v>26</v>
      </c>
      <c r="F803" t="s">
        <v>27</v>
      </c>
      <c r="G803" t="s">
        <v>17</v>
      </c>
      <c r="H803">
        <v>4</v>
      </c>
      <c r="I803" s="12">
        <v>75.78</v>
      </c>
      <c r="J803" s="12">
        <v>0.05</v>
      </c>
      <c r="K803" s="9">
        <v>287.97000000000003</v>
      </c>
      <c r="L803" s="9">
        <v>32.57</v>
      </c>
      <c r="M803" s="9">
        <f t="shared" si="12"/>
        <v>15.156000000000001</v>
      </c>
    </row>
    <row r="804" spans="1:13" x14ac:dyDescent="0.3">
      <c r="A804" t="s">
        <v>1121</v>
      </c>
      <c r="B804" s="1">
        <v>45898</v>
      </c>
      <c r="C804" t="s">
        <v>665</v>
      </c>
      <c r="D804" t="s">
        <v>14</v>
      </c>
      <c r="E804" t="s">
        <v>51</v>
      </c>
      <c r="F804" t="s">
        <v>27</v>
      </c>
      <c r="G804" t="s">
        <v>32</v>
      </c>
      <c r="H804">
        <v>2</v>
      </c>
      <c r="I804" s="12">
        <v>886.82</v>
      </c>
      <c r="J804" s="12">
        <v>0</v>
      </c>
      <c r="K804" s="9">
        <v>1773.63</v>
      </c>
      <c r="L804" s="9">
        <v>305.98</v>
      </c>
      <c r="M804" s="9">
        <f t="shared" si="12"/>
        <v>0</v>
      </c>
    </row>
    <row r="805" spans="1:13" x14ac:dyDescent="0.3">
      <c r="A805" t="s">
        <v>1122</v>
      </c>
      <c r="B805" s="1">
        <v>45898</v>
      </c>
      <c r="C805" t="s">
        <v>569</v>
      </c>
      <c r="D805" t="s">
        <v>40</v>
      </c>
      <c r="E805" t="s">
        <v>56</v>
      </c>
      <c r="F805" t="s">
        <v>21</v>
      </c>
      <c r="G805" t="s">
        <v>17</v>
      </c>
      <c r="H805">
        <v>1</v>
      </c>
      <c r="I805" s="12">
        <v>301.35000000000002</v>
      </c>
      <c r="J805" s="12">
        <v>0.05</v>
      </c>
      <c r="K805" s="9">
        <v>286.27999999999997</v>
      </c>
      <c r="L805" s="9">
        <v>30.83</v>
      </c>
      <c r="M805" s="9">
        <f t="shared" si="12"/>
        <v>15.067500000000003</v>
      </c>
    </row>
    <row r="806" spans="1:13" x14ac:dyDescent="0.3">
      <c r="A806" t="s">
        <v>1123</v>
      </c>
      <c r="B806" s="1">
        <v>45898</v>
      </c>
      <c r="C806" t="s">
        <v>880</v>
      </c>
      <c r="D806" t="s">
        <v>14</v>
      </c>
      <c r="E806" t="s">
        <v>51</v>
      </c>
      <c r="F806" t="s">
        <v>27</v>
      </c>
      <c r="G806" t="s">
        <v>22</v>
      </c>
      <c r="H806">
        <v>5</v>
      </c>
      <c r="I806" s="12">
        <v>885.21</v>
      </c>
      <c r="J806" s="12">
        <v>0.05</v>
      </c>
      <c r="K806" s="9">
        <v>4204.7700000000004</v>
      </c>
      <c r="L806" s="9">
        <v>453.28</v>
      </c>
      <c r="M806" s="9">
        <f t="shared" si="12"/>
        <v>221.30250000000001</v>
      </c>
    </row>
    <row r="807" spans="1:13" x14ac:dyDescent="0.3">
      <c r="A807" t="s">
        <v>1124</v>
      </c>
      <c r="B807" s="1">
        <v>45899</v>
      </c>
      <c r="C807" t="s">
        <v>60</v>
      </c>
      <c r="D807" t="s">
        <v>14</v>
      </c>
      <c r="E807" t="s">
        <v>20</v>
      </c>
      <c r="F807" t="s">
        <v>21</v>
      </c>
      <c r="G807" t="s">
        <v>22</v>
      </c>
      <c r="H807">
        <v>5</v>
      </c>
      <c r="I807" s="12">
        <v>179.49</v>
      </c>
      <c r="J807" s="12">
        <v>0.05</v>
      </c>
      <c r="K807" s="9">
        <v>852.59</v>
      </c>
      <c r="L807" s="9">
        <v>152.44</v>
      </c>
      <c r="M807" s="9">
        <f t="shared" si="12"/>
        <v>44.872500000000002</v>
      </c>
    </row>
    <row r="808" spans="1:13" x14ac:dyDescent="0.3">
      <c r="A808" t="s">
        <v>1125</v>
      </c>
      <c r="B808" s="1">
        <v>45899</v>
      </c>
      <c r="C808" t="s">
        <v>649</v>
      </c>
      <c r="D808" t="s">
        <v>40</v>
      </c>
      <c r="E808" t="s">
        <v>26</v>
      </c>
      <c r="F808" t="s">
        <v>27</v>
      </c>
      <c r="G808" t="s">
        <v>17</v>
      </c>
      <c r="H808">
        <v>2</v>
      </c>
      <c r="I808" s="12">
        <v>72.61</v>
      </c>
      <c r="J808" s="12">
        <v>0.1</v>
      </c>
      <c r="K808" s="9">
        <v>130.69999999999999</v>
      </c>
      <c r="L808" s="9">
        <v>14.34</v>
      </c>
      <c r="M808" s="9">
        <f t="shared" si="12"/>
        <v>14.522</v>
      </c>
    </row>
    <row r="809" spans="1:13" x14ac:dyDescent="0.3">
      <c r="A809" t="s">
        <v>1126</v>
      </c>
      <c r="B809" s="1">
        <v>45899</v>
      </c>
      <c r="C809" t="s">
        <v>1127</v>
      </c>
      <c r="D809" t="s">
        <v>14</v>
      </c>
      <c r="E809" t="s">
        <v>110</v>
      </c>
      <c r="F809" t="s">
        <v>42</v>
      </c>
      <c r="G809" t="s">
        <v>22</v>
      </c>
      <c r="H809">
        <v>1</v>
      </c>
      <c r="I809" s="12">
        <v>22.05</v>
      </c>
      <c r="J809" s="12">
        <v>0.2</v>
      </c>
      <c r="K809" s="9">
        <v>17.64</v>
      </c>
      <c r="L809" s="9">
        <v>3.25</v>
      </c>
      <c r="M809" s="9">
        <f t="shared" si="12"/>
        <v>4.41</v>
      </c>
    </row>
    <row r="810" spans="1:13" x14ac:dyDescent="0.3">
      <c r="A810" t="s">
        <v>1128</v>
      </c>
      <c r="B810" s="1">
        <v>45899</v>
      </c>
      <c r="C810" t="s">
        <v>264</v>
      </c>
      <c r="D810" t="s">
        <v>14</v>
      </c>
      <c r="E810" t="s">
        <v>65</v>
      </c>
      <c r="F810" t="s">
        <v>16</v>
      </c>
      <c r="G810" t="s">
        <v>17</v>
      </c>
      <c r="H810">
        <v>3</v>
      </c>
      <c r="I810" s="12">
        <v>16.64</v>
      </c>
      <c r="J810" s="12">
        <v>0.05</v>
      </c>
      <c r="K810" s="9">
        <v>47.42</v>
      </c>
      <c r="L810" s="9">
        <v>8.1199999999999992</v>
      </c>
      <c r="M810" s="9">
        <f t="shared" si="12"/>
        <v>2.4960000000000004</v>
      </c>
    </row>
    <row r="811" spans="1:13" x14ac:dyDescent="0.3">
      <c r="A811" t="s">
        <v>1129</v>
      </c>
      <c r="B811" s="1">
        <v>45899</v>
      </c>
      <c r="C811" t="s">
        <v>212</v>
      </c>
      <c r="D811" t="s">
        <v>14</v>
      </c>
      <c r="E811" t="s">
        <v>65</v>
      </c>
      <c r="F811" t="s">
        <v>16</v>
      </c>
      <c r="G811" t="s">
        <v>32</v>
      </c>
      <c r="H811">
        <v>2</v>
      </c>
      <c r="I811" s="12">
        <v>16.68</v>
      </c>
      <c r="J811" s="12">
        <v>0.05</v>
      </c>
      <c r="K811" s="9">
        <v>31.7</v>
      </c>
      <c r="L811" s="9">
        <v>8.25</v>
      </c>
      <c r="M811" s="9">
        <f t="shared" si="12"/>
        <v>1.6680000000000001</v>
      </c>
    </row>
    <row r="812" spans="1:13" x14ac:dyDescent="0.3">
      <c r="A812" t="s">
        <v>1130</v>
      </c>
      <c r="B812" s="1">
        <v>45900</v>
      </c>
      <c r="C812" t="s">
        <v>597</v>
      </c>
      <c r="D812" t="s">
        <v>14</v>
      </c>
      <c r="E812" t="s">
        <v>41</v>
      </c>
      <c r="F812" t="s">
        <v>42</v>
      </c>
      <c r="G812" t="s">
        <v>17</v>
      </c>
      <c r="H812">
        <v>1</v>
      </c>
      <c r="I812" s="12">
        <v>58.03</v>
      </c>
      <c r="J812" s="12">
        <v>0</v>
      </c>
      <c r="K812" s="9">
        <v>58.03</v>
      </c>
      <c r="L812" s="9">
        <v>11.27</v>
      </c>
      <c r="M812" s="9">
        <f t="shared" si="12"/>
        <v>0</v>
      </c>
    </row>
    <row r="813" spans="1:13" x14ac:dyDescent="0.3">
      <c r="A813" t="s">
        <v>1131</v>
      </c>
      <c r="B813" s="1">
        <v>45901</v>
      </c>
      <c r="C813" t="s">
        <v>591</v>
      </c>
      <c r="D813" t="s">
        <v>14</v>
      </c>
      <c r="E813" t="s">
        <v>56</v>
      </c>
      <c r="F813" t="s">
        <v>21</v>
      </c>
      <c r="G813" t="s">
        <v>32</v>
      </c>
      <c r="H813">
        <v>2</v>
      </c>
      <c r="I813" s="12">
        <v>303.91000000000003</v>
      </c>
      <c r="J813" s="12">
        <v>0.15</v>
      </c>
      <c r="K813" s="9">
        <v>516.64</v>
      </c>
      <c r="L813" s="9">
        <v>112.27</v>
      </c>
      <c r="M813" s="9">
        <f t="shared" si="12"/>
        <v>91.173000000000002</v>
      </c>
    </row>
    <row r="814" spans="1:13" x14ac:dyDescent="0.3">
      <c r="A814" t="s">
        <v>1132</v>
      </c>
      <c r="B814" s="1">
        <v>45901</v>
      </c>
      <c r="C814" t="s">
        <v>569</v>
      </c>
      <c r="D814" t="s">
        <v>14</v>
      </c>
      <c r="E814" t="s">
        <v>65</v>
      </c>
      <c r="F814" t="s">
        <v>16</v>
      </c>
      <c r="G814" t="s">
        <v>22</v>
      </c>
      <c r="H814">
        <v>2</v>
      </c>
      <c r="I814" s="12">
        <v>19.48</v>
      </c>
      <c r="J814" s="12">
        <v>0</v>
      </c>
      <c r="K814" s="9">
        <v>38.96</v>
      </c>
      <c r="L814" s="9">
        <v>4.4800000000000004</v>
      </c>
      <c r="M814" s="9">
        <f t="shared" si="12"/>
        <v>0</v>
      </c>
    </row>
    <row r="815" spans="1:13" x14ac:dyDescent="0.3">
      <c r="A815" t="s">
        <v>1133</v>
      </c>
      <c r="B815" s="1">
        <v>45901</v>
      </c>
      <c r="C815" t="s">
        <v>285</v>
      </c>
      <c r="D815" t="s">
        <v>25</v>
      </c>
      <c r="E815" t="s">
        <v>26</v>
      </c>
      <c r="F815" t="s">
        <v>27</v>
      </c>
      <c r="G815" t="s">
        <v>17</v>
      </c>
      <c r="H815">
        <v>2</v>
      </c>
      <c r="I815" s="12">
        <v>71.89</v>
      </c>
      <c r="J815" s="12">
        <v>0.05</v>
      </c>
      <c r="K815" s="9">
        <v>136.6</v>
      </c>
      <c r="L815" s="9">
        <v>19.63</v>
      </c>
      <c r="M815" s="9">
        <f t="shared" si="12"/>
        <v>7.1890000000000001</v>
      </c>
    </row>
    <row r="816" spans="1:13" x14ac:dyDescent="0.3">
      <c r="A816" t="s">
        <v>1134</v>
      </c>
      <c r="B816" s="1">
        <v>45902</v>
      </c>
      <c r="C816" t="s">
        <v>152</v>
      </c>
      <c r="D816" t="s">
        <v>25</v>
      </c>
      <c r="E816" t="s">
        <v>15</v>
      </c>
      <c r="F816" t="s">
        <v>16</v>
      </c>
      <c r="G816" t="s">
        <v>32</v>
      </c>
      <c r="H816">
        <v>3</v>
      </c>
      <c r="I816" s="12">
        <v>13.54</v>
      </c>
      <c r="J816" s="12">
        <v>0.05</v>
      </c>
      <c r="K816" s="9">
        <v>38.6</v>
      </c>
      <c r="L816" s="9">
        <v>4.79</v>
      </c>
      <c r="M816" s="9">
        <f t="shared" si="12"/>
        <v>2.0310000000000001</v>
      </c>
    </row>
    <row r="817" spans="1:13" x14ac:dyDescent="0.3">
      <c r="A817" t="s">
        <v>1135</v>
      </c>
      <c r="B817" s="1">
        <v>45902</v>
      </c>
      <c r="C817" t="s">
        <v>822</v>
      </c>
      <c r="D817" t="s">
        <v>40</v>
      </c>
      <c r="E817" t="s">
        <v>54</v>
      </c>
      <c r="F817" t="s">
        <v>27</v>
      </c>
      <c r="G817" t="s">
        <v>28</v>
      </c>
      <c r="H817">
        <v>1</v>
      </c>
      <c r="I817" s="12">
        <v>30.49</v>
      </c>
      <c r="J817" s="12">
        <v>0.05</v>
      </c>
      <c r="K817" s="9">
        <v>28.96</v>
      </c>
      <c r="L817" s="9">
        <v>6.64</v>
      </c>
      <c r="M817" s="9">
        <f t="shared" si="12"/>
        <v>1.5245</v>
      </c>
    </row>
    <row r="818" spans="1:13" x14ac:dyDescent="0.3">
      <c r="A818" t="s">
        <v>1136</v>
      </c>
      <c r="B818" s="1">
        <v>45902</v>
      </c>
      <c r="C818" t="s">
        <v>1137</v>
      </c>
      <c r="D818" t="s">
        <v>25</v>
      </c>
      <c r="E818" t="s">
        <v>26</v>
      </c>
      <c r="F818" t="s">
        <v>27</v>
      </c>
      <c r="G818" t="s">
        <v>22</v>
      </c>
      <c r="H818">
        <v>2</v>
      </c>
      <c r="I818" s="12">
        <v>69.540000000000006</v>
      </c>
      <c r="J818" s="12">
        <v>0</v>
      </c>
      <c r="K818" s="9">
        <v>139.09</v>
      </c>
      <c r="L818" s="9">
        <v>35.82</v>
      </c>
      <c r="M818" s="9">
        <f t="shared" si="12"/>
        <v>0</v>
      </c>
    </row>
    <row r="819" spans="1:13" x14ac:dyDescent="0.3">
      <c r="A819" t="s">
        <v>1138</v>
      </c>
      <c r="B819" s="1">
        <v>45902</v>
      </c>
      <c r="C819" t="s">
        <v>780</v>
      </c>
      <c r="D819" t="s">
        <v>25</v>
      </c>
      <c r="E819" t="s">
        <v>56</v>
      </c>
      <c r="F819" t="s">
        <v>21</v>
      </c>
      <c r="G819" t="s">
        <v>32</v>
      </c>
      <c r="H819">
        <v>2</v>
      </c>
      <c r="I819" s="12">
        <v>327.23</v>
      </c>
      <c r="J819" s="12">
        <v>0.05</v>
      </c>
      <c r="K819" s="9">
        <v>621.74</v>
      </c>
      <c r="L819" s="9">
        <v>73.48</v>
      </c>
      <c r="M819" s="9">
        <f t="shared" si="12"/>
        <v>32.723000000000006</v>
      </c>
    </row>
    <row r="820" spans="1:13" x14ac:dyDescent="0.3">
      <c r="A820" t="s">
        <v>1139</v>
      </c>
      <c r="B820" s="1">
        <v>45902</v>
      </c>
      <c r="C820" t="s">
        <v>315</v>
      </c>
      <c r="D820" t="s">
        <v>40</v>
      </c>
      <c r="E820" t="s">
        <v>92</v>
      </c>
      <c r="F820" t="s">
        <v>16</v>
      </c>
      <c r="G820" t="s">
        <v>28</v>
      </c>
      <c r="H820">
        <v>2</v>
      </c>
      <c r="I820" s="12">
        <v>8.34</v>
      </c>
      <c r="J820" s="12">
        <v>0.05</v>
      </c>
      <c r="K820" s="9">
        <v>15.85</v>
      </c>
      <c r="L820" s="9">
        <v>1.93</v>
      </c>
      <c r="M820" s="9">
        <f t="shared" si="12"/>
        <v>0.83400000000000007</v>
      </c>
    </row>
    <row r="821" spans="1:13" x14ac:dyDescent="0.3">
      <c r="A821" t="s">
        <v>1140</v>
      </c>
      <c r="B821" s="1">
        <v>45903</v>
      </c>
      <c r="C821" t="s">
        <v>166</v>
      </c>
      <c r="D821" t="s">
        <v>40</v>
      </c>
      <c r="E821" t="s">
        <v>51</v>
      </c>
      <c r="F821" t="s">
        <v>27</v>
      </c>
      <c r="G821" t="s">
        <v>22</v>
      </c>
      <c r="H821">
        <v>1</v>
      </c>
      <c r="I821" s="12">
        <v>877.27</v>
      </c>
      <c r="J821" s="12">
        <v>0.1</v>
      </c>
      <c r="K821" s="9">
        <v>789.54</v>
      </c>
      <c r="L821" s="9">
        <v>102.88</v>
      </c>
      <c r="M821" s="9">
        <f t="shared" si="12"/>
        <v>87.727000000000004</v>
      </c>
    </row>
    <row r="822" spans="1:13" x14ac:dyDescent="0.3">
      <c r="A822" t="s">
        <v>1141</v>
      </c>
      <c r="B822" s="1">
        <v>45903</v>
      </c>
      <c r="C822" t="s">
        <v>170</v>
      </c>
      <c r="D822" t="s">
        <v>14</v>
      </c>
      <c r="E822" t="s">
        <v>26</v>
      </c>
      <c r="F822" t="s">
        <v>27</v>
      </c>
      <c r="G822" t="s">
        <v>32</v>
      </c>
      <c r="H822">
        <v>4</v>
      </c>
      <c r="I822" s="12">
        <v>68.67</v>
      </c>
      <c r="J822" s="12">
        <v>0</v>
      </c>
      <c r="K822" s="9">
        <v>274.69</v>
      </c>
      <c r="L822" s="9">
        <v>65.27</v>
      </c>
      <c r="M822" s="9">
        <f t="shared" si="12"/>
        <v>0</v>
      </c>
    </row>
    <row r="823" spans="1:13" x14ac:dyDescent="0.3">
      <c r="A823" t="s">
        <v>1142</v>
      </c>
      <c r="B823" s="1">
        <v>45903</v>
      </c>
      <c r="C823" t="s">
        <v>969</v>
      </c>
      <c r="D823" t="s">
        <v>40</v>
      </c>
      <c r="E823" t="s">
        <v>51</v>
      </c>
      <c r="F823" t="s">
        <v>27</v>
      </c>
      <c r="G823" t="s">
        <v>32</v>
      </c>
      <c r="H823">
        <v>2</v>
      </c>
      <c r="I823" s="12">
        <v>934.42</v>
      </c>
      <c r="J823" s="12">
        <v>0</v>
      </c>
      <c r="K823" s="9">
        <v>1868.83</v>
      </c>
      <c r="L823" s="9">
        <v>468.44</v>
      </c>
      <c r="M823" s="9">
        <f t="shared" si="12"/>
        <v>0</v>
      </c>
    </row>
    <row r="824" spans="1:13" x14ac:dyDescent="0.3">
      <c r="A824" t="s">
        <v>1143</v>
      </c>
      <c r="B824" s="1">
        <v>45903</v>
      </c>
      <c r="C824" t="s">
        <v>251</v>
      </c>
      <c r="D824" t="s">
        <v>25</v>
      </c>
      <c r="E824" t="s">
        <v>51</v>
      </c>
      <c r="F824" t="s">
        <v>27</v>
      </c>
      <c r="G824" t="s">
        <v>17</v>
      </c>
      <c r="H824">
        <v>2</v>
      </c>
      <c r="I824" s="12">
        <v>1013.24</v>
      </c>
      <c r="J824" s="12">
        <v>0.15</v>
      </c>
      <c r="K824" s="9">
        <v>1722.5</v>
      </c>
      <c r="L824" s="9">
        <v>190.43</v>
      </c>
      <c r="M824" s="9">
        <f t="shared" si="12"/>
        <v>303.97199999999998</v>
      </c>
    </row>
    <row r="825" spans="1:13" x14ac:dyDescent="0.3">
      <c r="A825" t="s">
        <v>1144</v>
      </c>
      <c r="B825" s="1">
        <v>45903</v>
      </c>
      <c r="C825" t="s">
        <v>690</v>
      </c>
      <c r="D825" t="s">
        <v>25</v>
      </c>
      <c r="E825" t="s">
        <v>56</v>
      </c>
      <c r="F825" t="s">
        <v>21</v>
      </c>
      <c r="G825" t="s">
        <v>17</v>
      </c>
      <c r="H825">
        <v>2</v>
      </c>
      <c r="I825" s="12">
        <v>327.13</v>
      </c>
      <c r="J825" s="12">
        <v>0.15</v>
      </c>
      <c r="K825" s="9">
        <v>556.12</v>
      </c>
      <c r="L825" s="9">
        <v>36.96</v>
      </c>
      <c r="M825" s="9">
        <f t="shared" si="12"/>
        <v>98.138999999999996</v>
      </c>
    </row>
    <row r="826" spans="1:13" x14ac:dyDescent="0.3">
      <c r="A826" t="s">
        <v>1145</v>
      </c>
      <c r="B826" s="1">
        <v>45903</v>
      </c>
      <c r="C826" t="s">
        <v>1146</v>
      </c>
      <c r="D826" t="s">
        <v>40</v>
      </c>
      <c r="E826" t="s">
        <v>54</v>
      </c>
      <c r="F826" t="s">
        <v>27</v>
      </c>
      <c r="G826" t="s">
        <v>17</v>
      </c>
      <c r="H826">
        <v>4</v>
      </c>
      <c r="I826" s="12">
        <v>29.17</v>
      </c>
      <c r="J826" s="12">
        <v>0.05</v>
      </c>
      <c r="K826" s="9">
        <v>110.83</v>
      </c>
      <c r="L826" s="9">
        <v>18.02</v>
      </c>
      <c r="M826" s="9">
        <f t="shared" si="12"/>
        <v>5.8340000000000005</v>
      </c>
    </row>
    <row r="827" spans="1:13" x14ac:dyDescent="0.3">
      <c r="A827" t="s">
        <v>1147</v>
      </c>
      <c r="B827" s="1">
        <v>45903</v>
      </c>
      <c r="C827" t="s">
        <v>248</v>
      </c>
      <c r="D827" t="s">
        <v>14</v>
      </c>
      <c r="E827" t="s">
        <v>65</v>
      </c>
      <c r="F827" t="s">
        <v>16</v>
      </c>
      <c r="G827" t="s">
        <v>32</v>
      </c>
      <c r="H827">
        <v>2</v>
      </c>
      <c r="I827" s="12">
        <v>19.11</v>
      </c>
      <c r="J827" s="12">
        <v>0</v>
      </c>
      <c r="K827" s="9">
        <v>38.22</v>
      </c>
      <c r="L827" s="9">
        <v>9.18</v>
      </c>
      <c r="M827" s="9">
        <f t="shared" si="12"/>
        <v>0</v>
      </c>
    </row>
    <row r="828" spans="1:13" x14ac:dyDescent="0.3">
      <c r="A828" t="s">
        <v>1148</v>
      </c>
      <c r="B828" s="1">
        <v>45904</v>
      </c>
      <c r="C828" t="s">
        <v>372</v>
      </c>
      <c r="D828" t="s">
        <v>14</v>
      </c>
      <c r="E828" t="s">
        <v>26</v>
      </c>
      <c r="F828" t="s">
        <v>27</v>
      </c>
      <c r="G828" t="s">
        <v>17</v>
      </c>
      <c r="H828">
        <v>5</v>
      </c>
      <c r="I828" s="12">
        <v>73.47</v>
      </c>
      <c r="J828" s="12">
        <v>0</v>
      </c>
      <c r="K828" s="9">
        <v>367.34</v>
      </c>
      <c r="L828" s="9">
        <v>100.61</v>
      </c>
      <c r="M828" s="9">
        <f t="shared" si="12"/>
        <v>0</v>
      </c>
    </row>
    <row r="829" spans="1:13" x14ac:dyDescent="0.3">
      <c r="A829" t="s">
        <v>1149</v>
      </c>
      <c r="B829" s="1">
        <v>45904</v>
      </c>
      <c r="C829" t="s">
        <v>370</v>
      </c>
      <c r="D829" t="s">
        <v>14</v>
      </c>
      <c r="E829" t="s">
        <v>51</v>
      </c>
      <c r="F829" t="s">
        <v>27</v>
      </c>
      <c r="G829" t="s">
        <v>17</v>
      </c>
      <c r="H829">
        <v>1</v>
      </c>
      <c r="I829" s="12">
        <v>939.38</v>
      </c>
      <c r="J829" s="12">
        <v>0.2</v>
      </c>
      <c r="K829" s="9">
        <v>751.5</v>
      </c>
      <c r="L829" s="9">
        <v>97.82</v>
      </c>
      <c r="M829" s="9">
        <f t="shared" si="12"/>
        <v>187.876</v>
      </c>
    </row>
    <row r="830" spans="1:13" x14ac:dyDescent="0.3">
      <c r="A830" t="s">
        <v>1150</v>
      </c>
      <c r="B830" s="1">
        <v>45904</v>
      </c>
      <c r="C830" t="s">
        <v>99</v>
      </c>
      <c r="D830" t="s">
        <v>25</v>
      </c>
      <c r="E830" t="s">
        <v>54</v>
      </c>
      <c r="F830" t="s">
        <v>27</v>
      </c>
      <c r="G830" t="s">
        <v>28</v>
      </c>
      <c r="H830">
        <v>5</v>
      </c>
      <c r="I830" s="12">
        <v>29.5</v>
      </c>
      <c r="J830" s="12">
        <v>0.05</v>
      </c>
      <c r="K830" s="9">
        <v>140.11000000000001</v>
      </c>
      <c r="L830" s="9">
        <v>20.92</v>
      </c>
      <c r="M830" s="9">
        <f t="shared" si="12"/>
        <v>7.375</v>
      </c>
    </row>
    <row r="831" spans="1:13" x14ac:dyDescent="0.3">
      <c r="A831" t="s">
        <v>1151</v>
      </c>
      <c r="B831" s="1">
        <v>45905</v>
      </c>
      <c r="C831" t="s">
        <v>177</v>
      </c>
      <c r="D831" t="s">
        <v>40</v>
      </c>
      <c r="E831" t="s">
        <v>110</v>
      </c>
      <c r="F831" t="s">
        <v>42</v>
      </c>
      <c r="G831" t="s">
        <v>28</v>
      </c>
      <c r="H831">
        <v>4</v>
      </c>
      <c r="I831" s="12">
        <v>21.64</v>
      </c>
      <c r="J831" s="12">
        <v>0</v>
      </c>
      <c r="K831" s="9">
        <v>86.57</v>
      </c>
      <c r="L831" s="9">
        <v>11.43</v>
      </c>
      <c r="M831" s="9">
        <f t="shared" si="12"/>
        <v>0</v>
      </c>
    </row>
    <row r="832" spans="1:13" x14ac:dyDescent="0.3">
      <c r="A832" t="s">
        <v>1152</v>
      </c>
      <c r="B832" s="1">
        <v>45905</v>
      </c>
      <c r="C832" t="s">
        <v>955</v>
      </c>
      <c r="D832" t="s">
        <v>40</v>
      </c>
      <c r="E832" t="s">
        <v>26</v>
      </c>
      <c r="F832" t="s">
        <v>27</v>
      </c>
      <c r="G832" t="s">
        <v>28</v>
      </c>
      <c r="H832">
        <v>2</v>
      </c>
      <c r="I832" s="12">
        <v>77.349999999999994</v>
      </c>
      <c r="J832" s="12">
        <v>0</v>
      </c>
      <c r="K832" s="9">
        <v>154.69999999999999</v>
      </c>
      <c r="L832" s="9">
        <v>37.81</v>
      </c>
      <c r="M832" s="9">
        <f t="shared" si="12"/>
        <v>0</v>
      </c>
    </row>
    <row r="833" spans="1:13" x14ac:dyDescent="0.3">
      <c r="A833" t="s">
        <v>1153</v>
      </c>
      <c r="B833" s="1">
        <v>45905</v>
      </c>
      <c r="C833" t="s">
        <v>128</v>
      </c>
      <c r="D833" t="s">
        <v>14</v>
      </c>
      <c r="E833" t="s">
        <v>37</v>
      </c>
      <c r="F833" t="s">
        <v>27</v>
      </c>
      <c r="G833" t="s">
        <v>17</v>
      </c>
      <c r="H833">
        <v>1</v>
      </c>
      <c r="I833" s="12">
        <v>189</v>
      </c>
      <c r="J833" s="12">
        <v>0.1</v>
      </c>
      <c r="K833" s="9">
        <v>170.1</v>
      </c>
      <c r="L833" s="9">
        <v>23.89</v>
      </c>
      <c r="M833" s="9">
        <f t="shared" si="12"/>
        <v>18.900000000000002</v>
      </c>
    </row>
    <row r="834" spans="1:13" x14ac:dyDescent="0.3">
      <c r="A834" t="s">
        <v>1154</v>
      </c>
      <c r="B834" s="1">
        <v>45906</v>
      </c>
      <c r="C834" t="s">
        <v>877</v>
      </c>
      <c r="D834" t="s">
        <v>14</v>
      </c>
      <c r="E834" t="s">
        <v>110</v>
      </c>
      <c r="F834" t="s">
        <v>42</v>
      </c>
      <c r="G834" t="s">
        <v>17</v>
      </c>
      <c r="H834">
        <v>3</v>
      </c>
      <c r="I834" s="12">
        <v>22.36</v>
      </c>
      <c r="J834" s="12">
        <v>0.1</v>
      </c>
      <c r="K834" s="9">
        <v>60.36</v>
      </c>
      <c r="L834" s="9">
        <v>12.27</v>
      </c>
      <c r="M834" s="9">
        <f t="shared" si="12"/>
        <v>6.7080000000000002</v>
      </c>
    </row>
    <row r="835" spans="1:13" x14ac:dyDescent="0.3">
      <c r="A835" t="s">
        <v>1155</v>
      </c>
      <c r="B835" s="1">
        <v>45906</v>
      </c>
      <c r="C835" t="s">
        <v>248</v>
      </c>
      <c r="D835" t="s">
        <v>25</v>
      </c>
      <c r="E835" t="s">
        <v>92</v>
      </c>
      <c r="F835" t="s">
        <v>16</v>
      </c>
      <c r="G835" t="s">
        <v>17</v>
      </c>
      <c r="H835">
        <v>1</v>
      </c>
      <c r="I835" s="12">
        <v>9.67</v>
      </c>
      <c r="J835" s="12">
        <v>0.15</v>
      </c>
      <c r="K835" s="9">
        <v>8.2200000000000006</v>
      </c>
      <c r="L835" s="9">
        <v>0.59</v>
      </c>
      <c r="M835" s="9">
        <f t="shared" ref="M835:M898" si="13">H835*I835*J835</f>
        <v>1.4504999999999999</v>
      </c>
    </row>
    <row r="836" spans="1:13" x14ac:dyDescent="0.3">
      <c r="A836" t="s">
        <v>1156</v>
      </c>
      <c r="B836" s="1">
        <v>45906</v>
      </c>
      <c r="C836" t="s">
        <v>189</v>
      </c>
      <c r="D836" t="s">
        <v>14</v>
      </c>
      <c r="E836" t="s">
        <v>26</v>
      </c>
      <c r="F836" t="s">
        <v>27</v>
      </c>
      <c r="G836" t="s">
        <v>22</v>
      </c>
      <c r="H836">
        <v>1</v>
      </c>
      <c r="I836" s="12">
        <v>81.87</v>
      </c>
      <c r="J836" s="12">
        <v>0</v>
      </c>
      <c r="K836" s="9">
        <v>81.87</v>
      </c>
      <c r="L836" s="9">
        <v>20.54</v>
      </c>
      <c r="M836" s="9">
        <f t="shared" si="13"/>
        <v>0</v>
      </c>
    </row>
    <row r="837" spans="1:13" x14ac:dyDescent="0.3">
      <c r="A837" t="s">
        <v>1157</v>
      </c>
      <c r="B837" s="1">
        <v>45906</v>
      </c>
      <c r="C837" t="s">
        <v>377</v>
      </c>
      <c r="D837" t="s">
        <v>40</v>
      </c>
      <c r="E837" t="s">
        <v>15</v>
      </c>
      <c r="F837" t="s">
        <v>16</v>
      </c>
      <c r="G837" t="s">
        <v>17</v>
      </c>
      <c r="H837">
        <v>1</v>
      </c>
      <c r="I837" s="12">
        <v>14.3</v>
      </c>
      <c r="J837" s="12">
        <v>0.2</v>
      </c>
      <c r="K837" s="9">
        <v>11.44</v>
      </c>
      <c r="L837" s="9">
        <v>1.26</v>
      </c>
      <c r="M837" s="9">
        <f t="shared" si="13"/>
        <v>2.8600000000000003</v>
      </c>
    </row>
    <row r="838" spans="1:13" x14ac:dyDescent="0.3">
      <c r="A838" t="s">
        <v>1158</v>
      </c>
      <c r="B838" s="1">
        <v>45907</v>
      </c>
      <c r="C838" t="s">
        <v>690</v>
      </c>
      <c r="D838" t="s">
        <v>14</v>
      </c>
      <c r="E838" t="s">
        <v>54</v>
      </c>
      <c r="F838" t="s">
        <v>27</v>
      </c>
      <c r="G838" t="s">
        <v>22</v>
      </c>
      <c r="H838">
        <v>1</v>
      </c>
      <c r="I838" s="12">
        <v>28.81</v>
      </c>
      <c r="J838" s="12">
        <v>0</v>
      </c>
      <c r="K838" s="9">
        <v>28.81</v>
      </c>
      <c r="L838" s="9">
        <v>4.71</v>
      </c>
      <c r="M838" s="9">
        <f t="shared" si="13"/>
        <v>0</v>
      </c>
    </row>
    <row r="839" spans="1:13" x14ac:dyDescent="0.3">
      <c r="A839" t="s">
        <v>1159</v>
      </c>
      <c r="B839" s="1">
        <v>45907</v>
      </c>
      <c r="C839" t="s">
        <v>30</v>
      </c>
      <c r="D839" t="s">
        <v>14</v>
      </c>
      <c r="E839" t="s">
        <v>41</v>
      </c>
      <c r="F839" t="s">
        <v>42</v>
      </c>
      <c r="G839" t="s">
        <v>17</v>
      </c>
      <c r="H839">
        <v>3</v>
      </c>
      <c r="I839" s="12">
        <v>51.68</v>
      </c>
      <c r="J839" s="12">
        <v>0.1</v>
      </c>
      <c r="K839" s="9">
        <v>139.55000000000001</v>
      </c>
      <c r="L839" s="9">
        <v>21.33</v>
      </c>
      <c r="M839" s="9">
        <f t="shared" si="13"/>
        <v>15.504</v>
      </c>
    </row>
    <row r="840" spans="1:13" x14ac:dyDescent="0.3">
      <c r="A840" t="s">
        <v>1160</v>
      </c>
      <c r="B840" s="1">
        <v>45908</v>
      </c>
      <c r="C840" t="s">
        <v>508</v>
      </c>
      <c r="D840" t="s">
        <v>40</v>
      </c>
      <c r="E840" t="s">
        <v>31</v>
      </c>
      <c r="F840" t="s">
        <v>21</v>
      </c>
      <c r="G840" t="s">
        <v>22</v>
      </c>
      <c r="H840">
        <v>2</v>
      </c>
      <c r="I840" s="12">
        <v>41.84</v>
      </c>
      <c r="J840" s="12">
        <v>0.1</v>
      </c>
      <c r="K840" s="9">
        <v>75.31</v>
      </c>
      <c r="L840" s="9">
        <v>5.32</v>
      </c>
      <c r="M840" s="9">
        <f t="shared" si="13"/>
        <v>8.3680000000000003</v>
      </c>
    </row>
    <row r="841" spans="1:13" x14ac:dyDescent="0.3">
      <c r="A841" t="s">
        <v>1161</v>
      </c>
      <c r="B841" s="1">
        <v>45908</v>
      </c>
      <c r="C841" t="s">
        <v>297</v>
      </c>
      <c r="D841" t="s">
        <v>14</v>
      </c>
      <c r="E841" t="s">
        <v>31</v>
      </c>
      <c r="F841" t="s">
        <v>21</v>
      </c>
      <c r="G841" t="s">
        <v>17</v>
      </c>
      <c r="H841">
        <v>1</v>
      </c>
      <c r="I841" s="12">
        <v>44.97</v>
      </c>
      <c r="J841" s="12">
        <v>0.2</v>
      </c>
      <c r="K841" s="9">
        <v>35.97</v>
      </c>
      <c r="L841" s="9">
        <v>4.7300000000000004</v>
      </c>
      <c r="M841" s="9">
        <f t="shared" si="13"/>
        <v>8.9939999999999998</v>
      </c>
    </row>
    <row r="842" spans="1:13" x14ac:dyDescent="0.3">
      <c r="A842" t="s">
        <v>1162</v>
      </c>
      <c r="B842" s="1">
        <v>45908</v>
      </c>
      <c r="C842" t="s">
        <v>452</v>
      </c>
      <c r="D842" t="s">
        <v>14</v>
      </c>
      <c r="E842" t="s">
        <v>41</v>
      </c>
      <c r="F842" t="s">
        <v>42</v>
      </c>
      <c r="G842" t="s">
        <v>28</v>
      </c>
      <c r="H842">
        <v>1</v>
      </c>
      <c r="I842" s="12">
        <v>50.26</v>
      </c>
      <c r="J842" s="12">
        <v>0.15</v>
      </c>
      <c r="K842" s="9">
        <v>42.72</v>
      </c>
      <c r="L842" s="9">
        <v>10.02</v>
      </c>
      <c r="M842" s="9">
        <f t="shared" si="13"/>
        <v>7.5389999999999997</v>
      </c>
    </row>
    <row r="843" spans="1:13" x14ac:dyDescent="0.3">
      <c r="A843" t="s">
        <v>1163</v>
      </c>
      <c r="B843" s="1">
        <v>45908</v>
      </c>
      <c r="C843" t="s">
        <v>30</v>
      </c>
      <c r="D843" t="s">
        <v>14</v>
      </c>
      <c r="E843" t="s">
        <v>37</v>
      </c>
      <c r="F843" t="s">
        <v>27</v>
      </c>
      <c r="G843" t="s">
        <v>17</v>
      </c>
      <c r="H843">
        <v>2</v>
      </c>
      <c r="I843" s="12">
        <v>190.65</v>
      </c>
      <c r="J843" s="12">
        <v>0.15</v>
      </c>
      <c r="K843" s="9">
        <v>324.11</v>
      </c>
      <c r="L843" s="9">
        <v>23.25</v>
      </c>
      <c r="M843" s="9">
        <f t="shared" si="13"/>
        <v>57.195</v>
      </c>
    </row>
    <row r="844" spans="1:13" x14ac:dyDescent="0.3">
      <c r="A844" t="s">
        <v>1164</v>
      </c>
      <c r="B844" s="1">
        <v>45909</v>
      </c>
      <c r="C844" t="s">
        <v>1109</v>
      </c>
      <c r="D844" t="s">
        <v>14</v>
      </c>
      <c r="E844" t="s">
        <v>31</v>
      </c>
      <c r="F844" t="s">
        <v>21</v>
      </c>
      <c r="G844" t="s">
        <v>22</v>
      </c>
      <c r="H844">
        <v>1</v>
      </c>
      <c r="I844" s="12">
        <v>43.52</v>
      </c>
      <c r="J844" s="12">
        <v>0.1</v>
      </c>
      <c r="K844" s="9">
        <v>39.17</v>
      </c>
      <c r="L844" s="9">
        <v>8.14</v>
      </c>
      <c r="M844" s="9">
        <f t="shared" si="13"/>
        <v>4.3520000000000003</v>
      </c>
    </row>
    <row r="845" spans="1:13" x14ac:dyDescent="0.3">
      <c r="A845" t="s">
        <v>1165</v>
      </c>
      <c r="B845" s="1">
        <v>45910</v>
      </c>
      <c r="C845" t="s">
        <v>181</v>
      </c>
      <c r="D845" t="s">
        <v>40</v>
      </c>
      <c r="E845" t="s">
        <v>41</v>
      </c>
      <c r="F845" t="s">
        <v>42</v>
      </c>
      <c r="G845" t="s">
        <v>32</v>
      </c>
      <c r="H845">
        <v>2</v>
      </c>
      <c r="I845" s="12">
        <v>60.21</v>
      </c>
      <c r="J845" s="12">
        <v>0</v>
      </c>
      <c r="K845" s="9">
        <v>120.42</v>
      </c>
      <c r="L845" s="9">
        <v>15.24</v>
      </c>
      <c r="M845" s="9">
        <f t="shared" si="13"/>
        <v>0</v>
      </c>
    </row>
    <row r="846" spans="1:13" x14ac:dyDescent="0.3">
      <c r="A846" t="s">
        <v>1166</v>
      </c>
      <c r="B846" s="1">
        <v>45910</v>
      </c>
      <c r="C846" t="s">
        <v>494</v>
      </c>
      <c r="D846" t="s">
        <v>40</v>
      </c>
      <c r="E846" t="s">
        <v>41</v>
      </c>
      <c r="F846" t="s">
        <v>42</v>
      </c>
      <c r="G846" t="s">
        <v>28</v>
      </c>
      <c r="H846">
        <v>2</v>
      </c>
      <c r="I846" s="12">
        <v>58.61</v>
      </c>
      <c r="J846" s="12">
        <v>0</v>
      </c>
      <c r="K846" s="9">
        <v>117.23</v>
      </c>
      <c r="L846" s="9">
        <v>27.86</v>
      </c>
      <c r="M846" s="9">
        <f t="shared" si="13"/>
        <v>0</v>
      </c>
    </row>
    <row r="847" spans="1:13" x14ac:dyDescent="0.3">
      <c r="A847" t="s">
        <v>1167</v>
      </c>
      <c r="B847" s="1">
        <v>45910</v>
      </c>
      <c r="C847" t="s">
        <v>780</v>
      </c>
      <c r="D847" t="s">
        <v>25</v>
      </c>
      <c r="E847" t="s">
        <v>92</v>
      </c>
      <c r="F847" t="s">
        <v>16</v>
      </c>
      <c r="G847" t="s">
        <v>32</v>
      </c>
      <c r="H847">
        <v>1</v>
      </c>
      <c r="I847" s="12">
        <v>9.2899999999999991</v>
      </c>
      <c r="J847" s="12">
        <v>0</v>
      </c>
      <c r="K847" s="9">
        <v>9.2899999999999991</v>
      </c>
      <c r="L847" s="9">
        <v>1.85</v>
      </c>
      <c r="M847" s="9">
        <f t="shared" si="13"/>
        <v>0</v>
      </c>
    </row>
    <row r="848" spans="1:13" x14ac:dyDescent="0.3">
      <c r="A848" t="s">
        <v>1168</v>
      </c>
      <c r="B848" s="1">
        <v>45911</v>
      </c>
      <c r="C848" t="s">
        <v>1169</v>
      </c>
      <c r="D848" t="s">
        <v>14</v>
      </c>
      <c r="E848" t="s">
        <v>56</v>
      </c>
      <c r="F848" t="s">
        <v>21</v>
      </c>
      <c r="G848" t="s">
        <v>17</v>
      </c>
      <c r="H848">
        <v>2</v>
      </c>
      <c r="I848" s="12">
        <v>315.77999999999997</v>
      </c>
      <c r="J848" s="12">
        <v>0.05</v>
      </c>
      <c r="K848" s="9">
        <v>599.99</v>
      </c>
      <c r="L848" s="9">
        <v>62.39</v>
      </c>
      <c r="M848" s="9">
        <f t="shared" si="13"/>
        <v>31.577999999999999</v>
      </c>
    </row>
    <row r="849" spans="1:13" x14ac:dyDescent="0.3">
      <c r="A849" t="s">
        <v>1170</v>
      </c>
      <c r="B849" s="1">
        <v>45911</v>
      </c>
      <c r="C849" t="s">
        <v>212</v>
      </c>
      <c r="D849" t="s">
        <v>14</v>
      </c>
      <c r="E849" t="s">
        <v>15</v>
      </c>
      <c r="F849" t="s">
        <v>16</v>
      </c>
      <c r="G849" t="s">
        <v>32</v>
      </c>
      <c r="H849">
        <v>1</v>
      </c>
      <c r="I849" s="12">
        <v>14.33</v>
      </c>
      <c r="J849" s="12">
        <v>0</v>
      </c>
      <c r="K849" s="9">
        <v>14.33</v>
      </c>
      <c r="L849" s="9">
        <v>3.9</v>
      </c>
      <c r="M849" s="9">
        <f t="shared" si="13"/>
        <v>0</v>
      </c>
    </row>
    <row r="850" spans="1:13" x14ac:dyDescent="0.3">
      <c r="A850" t="s">
        <v>1171</v>
      </c>
      <c r="B850" s="1">
        <v>45912</v>
      </c>
      <c r="C850" t="s">
        <v>355</v>
      </c>
      <c r="D850" t="s">
        <v>25</v>
      </c>
      <c r="E850" t="s">
        <v>110</v>
      </c>
      <c r="F850" t="s">
        <v>42</v>
      </c>
      <c r="G850" t="s">
        <v>32</v>
      </c>
      <c r="H850">
        <v>1</v>
      </c>
      <c r="I850" s="12">
        <v>23.36</v>
      </c>
      <c r="J850" s="12">
        <v>0.05</v>
      </c>
      <c r="K850" s="9">
        <v>22.19</v>
      </c>
      <c r="L850" s="9">
        <v>2.69</v>
      </c>
      <c r="M850" s="9">
        <f t="shared" si="13"/>
        <v>1.1679999999999999</v>
      </c>
    </row>
    <row r="851" spans="1:13" x14ac:dyDescent="0.3">
      <c r="A851" t="s">
        <v>1172</v>
      </c>
      <c r="B851" s="1">
        <v>45912</v>
      </c>
      <c r="C851" t="s">
        <v>30</v>
      </c>
      <c r="D851" t="s">
        <v>14</v>
      </c>
      <c r="E851" t="s">
        <v>92</v>
      </c>
      <c r="F851" t="s">
        <v>16</v>
      </c>
      <c r="G851" t="s">
        <v>28</v>
      </c>
      <c r="H851">
        <v>1</v>
      </c>
      <c r="I851" s="12">
        <v>8.61</v>
      </c>
      <c r="J851" s="12">
        <v>0</v>
      </c>
      <c r="K851" s="9">
        <v>8.61</v>
      </c>
      <c r="L851" s="9">
        <v>2.41</v>
      </c>
      <c r="M851" s="9">
        <f t="shared" si="13"/>
        <v>0</v>
      </c>
    </row>
    <row r="852" spans="1:13" x14ac:dyDescent="0.3">
      <c r="A852" t="s">
        <v>1173</v>
      </c>
      <c r="B852" s="1">
        <v>45913</v>
      </c>
      <c r="C852" t="s">
        <v>372</v>
      </c>
      <c r="D852" t="s">
        <v>14</v>
      </c>
      <c r="E852" t="s">
        <v>41</v>
      </c>
      <c r="F852" t="s">
        <v>42</v>
      </c>
      <c r="G852" t="s">
        <v>17</v>
      </c>
      <c r="H852">
        <v>1</v>
      </c>
      <c r="I852" s="12">
        <v>51.96</v>
      </c>
      <c r="J852" s="12">
        <v>0.1</v>
      </c>
      <c r="K852" s="9">
        <v>46.76</v>
      </c>
      <c r="L852" s="9">
        <v>3</v>
      </c>
      <c r="M852" s="9">
        <f t="shared" si="13"/>
        <v>5.1960000000000006</v>
      </c>
    </row>
    <row r="853" spans="1:13" x14ac:dyDescent="0.3">
      <c r="A853" t="s">
        <v>1174</v>
      </c>
      <c r="B853" s="1">
        <v>45913</v>
      </c>
      <c r="C853" t="s">
        <v>48</v>
      </c>
      <c r="D853" t="s">
        <v>14</v>
      </c>
      <c r="E853" t="s">
        <v>65</v>
      </c>
      <c r="F853" t="s">
        <v>16</v>
      </c>
      <c r="G853" t="s">
        <v>28</v>
      </c>
      <c r="H853">
        <v>4</v>
      </c>
      <c r="I853" s="12">
        <v>17.95</v>
      </c>
      <c r="J853" s="12">
        <v>0.15</v>
      </c>
      <c r="K853" s="9">
        <v>61.04</v>
      </c>
      <c r="L853" s="9">
        <v>9.86</v>
      </c>
      <c r="M853" s="9">
        <f t="shared" si="13"/>
        <v>10.77</v>
      </c>
    </row>
    <row r="854" spans="1:13" x14ac:dyDescent="0.3">
      <c r="A854" t="s">
        <v>1175</v>
      </c>
      <c r="B854" s="1">
        <v>45913</v>
      </c>
      <c r="C854" t="s">
        <v>166</v>
      </c>
      <c r="D854" t="s">
        <v>25</v>
      </c>
      <c r="E854" t="s">
        <v>65</v>
      </c>
      <c r="F854" t="s">
        <v>16</v>
      </c>
      <c r="G854" t="s">
        <v>32</v>
      </c>
      <c r="H854">
        <v>5</v>
      </c>
      <c r="I854" s="12">
        <v>19.52</v>
      </c>
      <c r="J854" s="12">
        <v>0.05</v>
      </c>
      <c r="K854" s="9">
        <v>92.74</v>
      </c>
      <c r="L854" s="9">
        <v>16.64</v>
      </c>
      <c r="M854" s="9">
        <f t="shared" si="13"/>
        <v>4.88</v>
      </c>
    </row>
    <row r="855" spans="1:13" x14ac:dyDescent="0.3">
      <c r="A855" t="s">
        <v>1176</v>
      </c>
      <c r="B855" s="1">
        <v>45913</v>
      </c>
      <c r="C855" t="s">
        <v>53</v>
      </c>
      <c r="D855" t="s">
        <v>14</v>
      </c>
      <c r="E855" t="s">
        <v>26</v>
      </c>
      <c r="F855" t="s">
        <v>27</v>
      </c>
      <c r="G855" t="s">
        <v>17</v>
      </c>
      <c r="H855">
        <v>3</v>
      </c>
      <c r="I855" s="12">
        <v>79.83</v>
      </c>
      <c r="J855" s="12">
        <v>0.05</v>
      </c>
      <c r="K855" s="9">
        <v>227.52</v>
      </c>
      <c r="L855" s="9">
        <v>54.83</v>
      </c>
      <c r="M855" s="9">
        <f t="shared" si="13"/>
        <v>11.974500000000001</v>
      </c>
    </row>
    <row r="856" spans="1:13" x14ac:dyDescent="0.3">
      <c r="A856" t="s">
        <v>1177</v>
      </c>
      <c r="B856" s="1">
        <v>45914</v>
      </c>
      <c r="C856" t="s">
        <v>457</v>
      </c>
      <c r="D856" t="s">
        <v>14</v>
      </c>
      <c r="E856" t="s">
        <v>65</v>
      </c>
      <c r="F856" t="s">
        <v>16</v>
      </c>
      <c r="G856" t="s">
        <v>28</v>
      </c>
      <c r="H856">
        <v>2</v>
      </c>
      <c r="I856" s="12">
        <v>18.5</v>
      </c>
      <c r="J856" s="12">
        <v>0.05</v>
      </c>
      <c r="K856" s="9">
        <v>35.15</v>
      </c>
      <c r="L856" s="9">
        <v>3.34</v>
      </c>
      <c r="M856" s="9">
        <f t="shared" si="13"/>
        <v>1.85</v>
      </c>
    </row>
    <row r="857" spans="1:13" x14ac:dyDescent="0.3">
      <c r="A857" t="s">
        <v>1178</v>
      </c>
      <c r="B857" s="1">
        <v>45914</v>
      </c>
      <c r="C857" t="s">
        <v>366</v>
      </c>
      <c r="D857" t="s">
        <v>14</v>
      </c>
      <c r="E857" t="s">
        <v>15</v>
      </c>
      <c r="F857" t="s">
        <v>16</v>
      </c>
      <c r="G857" t="s">
        <v>32</v>
      </c>
      <c r="H857">
        <v>2</v>
      </c>
      <c r="I857" s="12">
        <v>15.15</v>
      </c>
      <c r="J857" s="12">
        <v>0.1</v>
      </c>
      <c r="K857" s="9">
        <v>27.27</v>
      </c>
      <c r="L857" s="9">
        <v>4.12</v>
      </c>
      <c r="M857" s="9">
        <f t="shared" si="13"/>
        <v>3.0300000000000002</v>
      </c>
    </row>
    <row r="858" spans="1:13" x14ac:dyDescent="0.3">
      <c r="A858" t="s">
        <v>1179</v>
      </c>
      <c r="B858" s="1">
        <v>45914</v>
      </c>
      <c r="C858" t="s">
        <v>778</v>
      </c>
      <c r="D858" t="s">
        <v>25</v>
      </c>
      <c r="E858" t="s">
        <v>20</v>
      </c>
      <c r="F858" t="s">
        <v>21</v>
      </c>
      <c r="G858" t="s">
        <v>28</v>
      </c>
      <c r="H858">
        <v>1</v>
      </c>
      <c r="I858" s="12">
        <v>193.32</v>
      </c>
      <c r="J858" s="12">
        <v>0.15</v>
      </c>
      <c r="K858" s="9">
        <v>164.32</v>
      </c>
      <c r="L858" s="9">
        <v>24.31</v>
      </c>
      <c r="M858" s="9">
        <f t="shared" si="13"/>
        <v>28.997999999999998</v>
      </c>
    </row>
    <row r="859" spans="1:13" x14ac:dyDescent="0.3">
      <c r="A859" t="s">
        <v>1180</v>
      </c>
      <c r="B859" s="1">
        <v>45915</v>
      </c>
      <c r="C859" t="s">
        <v>1127</v>
      </c>
      <c r="D859" t="s">
        <v>14</v>
      </c>
      <c r="E859" t="s">
        <v>37</v>
      </c>
      <c r="F859" t="s">
        <v>27</v>
      </c>
      <c r="G859" t="s">
        <v>32</v>
      </c>
      <c r="H859">
        <v>1</v>
      </c>
      <c r="I859" s="12">
        <v>208.29</v>
      </c>
      <c r="J859" s="12">
        <v>0</v>
      </c>
      <c r="K859" s="9">
        <v>208.29</v>
      </c>
      <c r="L859" s="9">
        <v>48</v>
      </c>
      <c r="M859" s="9">
        <f t="shared" si="13"/>
        <v>0</v>
      </c>
    </row>
    <row r="860" spans="1:13" x14ac:dyDescent="0.3">
      <c r="A860" t="s">
        <v>1181</v>
      </c>
      <c r="B860" s="1">
        <v>45915</v>
      </c>
      <c r="C860" t="s">
        <v>271</v>
      </c>
      <c r="D860" t="s">
        <v>25</v>
      </c>
      <c r="E860" t="s">
        <v>41</v>
      </c>
      <c r="F860" t="s">
        <v>42</v>
      </c>
      <c r="G860" t="s">
        <v>32</v>
      </c>
      <c r="H860">
        <v>1</v>
      </c>
      <c r="I860" s="12">
        <v>49.61</v>
      </c>
      <c r="J860" s="12">
        <v>0.05</v>
      </c>
      <c r="K860" s="9">
        <v>47.13</v>
      </c>
      <c r="L860" s="9">
        <v>11.25</v>
      </c>
      <c r="M860" s="9">
        <f t="shared" si="13"/>
        <v>2.4805000000000001</v>
      </c>
    </row>
    <row r="861" spans="1:13" x14ac:dyDescent="0.3">
      <c r="A861" t="s">
        <v>1182</v>
      </c>
      <c r="B861" s="1">
        <v>45915</v>
      </c>
      <c r="C861" t="s">
        <v>1028</v>
      </c>
      <c r="D861" t="s">
        <v>14</v>
      </c>
      <c r="E861" t="s">
        <v>65</v>
      </c>
      <c r="F861" t="s">
        <v>16</v>
      </c>
      <c r="G861" t="s">
        <v>28</v>
      </c>
      <c r="H861">
        <v>5</v>
      </c>
      <c r="I861" s="12">
        <v>18.04</v>
      </c>
      <c r="J861" s="12">
        <v>0.1</v>
      </c>
      <c r="K861" s="9">
        <v>81.19</v>
      </c>
      <c r="L861" s="9">
        <v>15.61</v>
      </c>
      <c r="M861" s="9">
        <f t="shared" si="13"/>
        <v>9.02</v>
      </c>
    </row>
    <row r="862" spans="1:13" x14ac:dyDescent="0.3">
      <c r="A862" t="s">
        <v>1183</v>
      </c>
      <c r="B862" s="1">
        <v>45915</v>
      </c>
      <c r="C862" t="s">
        <v>408</v>
      </c>
      <c r="D862" t="s">
        <v>14</v>
      </c>
      <c r="E862" t="s">
        <v>65</v>
      </c>
      <c r="F862" t="s">
        <v>16</v>
      </c>
      <c r="G862" t="s">
        <v>32</v>
      </c>
      <c r="H862">
        <v>3</v>
      </c>
      <c r="I862" s="12">
        <v>17.7</v>
      </c>
      <c r="J862" s="12">
        <v>0.1</v>
      </c>
      <c r="K862" s="9">
        <v>47.78</v>
      </c>
      <c r="L862" s="9">
        <v>2.82</v>
      </c>
      <c r="M862" s="9">
        <f t="shared" si="13"/>
        <v>5.31</v>
      </c>
    </row>
    <row r="863" spans="1:13" x14ac:dyDescent="0.3">
      <c r="A863" t="s">
        <v>1184</v>
      </c>
      <c r="B863" s="1">
        <v>45915</v>
      </c>
      <c r="C863" t="s">
        <v>690</v>
      </c>
      <c r="D863" t="s">
        <v>40</v>
      </c>
      <c r="E863" t="s">
        <v>51</v>
      </c>
      <c r="F863" t="s">
        <v>27</v>
      </c>
      <c r="G863" t="s">
        <v>28</v>
      </c>
      <c r="H863">
        <v>2</v>
      </c>
      <c r="I863" s="12">
        <v>858.66</v>
      </c>
      <c r="J863" s="12">
        <v>0</v>
      </c>
      <c r="K863" s="9">
        <v>1717.31</v>
      </c>
      <c r="L863" s="9">
        <v>420.81</v>
      </c>
      <c r="M863" s="9">
        <f t="shared" si="13"/>
        <v>0</v>
      </c>
    </row>
    <row r="864" spans="1:13" x14ac:dyDescent="0.3">
      <c r="A864" t="s">
        <v>1185</v>
      </c>
      <c r="B864" s="1">
        <v>45916</v>
      </c>
      <c r="C864" t="s">
        <v>955</v>
      </c>
      <c r="D864" t="s">
        <v>25</v>
      </c>
      <c r="E864" t="s">
        <v>110</v>
      </c>
      <c r="F864" t="s">
        <v>42</v>
      </c>
      <c r="G864" t="s">
        <v>32</v>
      </c>
      <c r="H864">
        <v>1</v>
      </c>
      <c r="I864" s="12">
        <v>19.88</v>
      </c>
      <c r="J864" s="12">
        <v>0.05</v>
      </c>
      <c r="K864" s="9">
        <v>18.89</v>
      </c>
      <c r="L864" s="9">
        <v>2.2799999999999998</v>
      </c>
      <c r="M864" s="9">
        <f t="shared" si="13"/>
        <v>0.99399999999999999</v>
      </c>
    </row>
    <row r="865" spans="1:13" x14ac:dyDescent="0.3">
      <c r="A865" t="s">
        <v>1186</v>
      </c>
      <c r="B865" s="1">
        <v>45916</v>
      </c>
      <c r="C865" t="s">
        <v>46</v>
      </c>
      <c r="D865" t="s">
        <v>25</v>
      </c>
      <c r="E865" t="s">
        <v>110</v>
      </c>
      <c r="F865" t="s">
        <v>42</v>
      </c>
      <c r="G865" t="s">
        <v>17</v>
      </c>
      <c r="H865">
        <v>5</v>
      </c>
      <c r="I865" s="12">
        <v>23.28</v>
      </c>
      <c r="J865" s="12">
        <v>0</v>
      </c>
      <c r="K865" s="9">
        <v>116.42</v>
      </c>
      <c r="L865" s="9">
        <v>23.05</v>
      </c>
      <c r="M865" s="9">
        <f t="shared" si="13"/>
        <v>0</v>
      </c>
    </row>
    <row r="866" spans="1:13" x14ac:dyDescent="0.3">
      <c r="A866" t="s">
        <v>1187</v>
      </c>
      <c r="B866" s="1">
        <v>45916</v>
      </c>
      <c r="C866" t="s">
        <v>107</v>
      </c>
      <c r="D866" t="s">
        <v>14</v>
      </c>
      <c r="E866" t="s">
        <v>56</v>
      </c>
      <c r="F866" t="s">
        <v>21</v>
      </c>
      <c r="G866" t="s">
        <v>32</v>
      </c>
      <c r="H866">
        <v>1</v>
      </c>
      <c r="I866" s="12">
        <v>330.07</v>
      </c>
      <c r="J866" s="12">
        <v>0.05</v>
      </c>
      <c r="K866" s="9">
        <v>313.57</v>
      </c>
      <c r="L866" s="9">
        <v>42.6</v>
      </c>
      <c r="M866" s="9">
        <f t="shared" si="13"/>
        <v>16.503499999999999</v>
      </c>
    </row>
    <row r="867" spans="1:13" x14ac:dyDescent="0.3">
      <c r="A867" t="s">
        <v>1188</v>
      </c>
      <c r="B867" s="1">
        <v>45917</v>
      </c>
      <c r="C867" t="s">
        <v>851</v>
      </c>
      <c r="D867" t="s">
        <v>14</v>
      </c>
      <c r="E867" t="s">
        <v>15</v>
      </c>
      <c r="F867" t="s">
        <v>16</v>
      </c>
      <c r="G867" t="s">
        <v>32</v>
      </c>
      <c r="H867">
        <v>1</v>
      </c>
      <c r="I867" s="12">
        <v>13.43</v>
      </c>
      <c r="J867" s="12">
        <v>0.15</v>
      </c>
      <c r="K867" s="9">
        <v>11.42</v>
      </c>
      <c r="L867" s="9">
        <v>1.89</v>
      </c>
      <c r="M867" s="9">
        <f t="shared" si="13"/>
        <v>2.0145</v>
      </c>
    </row>
    <row r="868" spans="1:13" x14ac:dyDescent="0.3">
      <c r="A868" t="s">
        <v>1189</v>
      </c>
      <c r="B868" s="1">
        <v>45917</v>
      </c>
      <c r="C868" t="s">
        <v>569</v>
      </c>
      <c r="D868" t="s">
        <v>40</v>
      </c>
      <c r="E868" t="s">
        <v>65</v>
      </c>
      <c r="F868" t="s">
        <v>16</v>
      </c>
      <c r="G868" t="s">
        <v>17</v>
      </c>
      <c r="H868">
        <v>3</v>
      </c>
      <c r="I868" s="12">
        <v>16.91</v>
      </c>
      <c r="J868" s="12">
        <v>0.1</v>
      </c>
      <c r="K868" s="9">
        <v>45.67</v>
      </c>
      <c r="L868" s="9">
        <v>6.94</v>
      </c>
      <c r="M868" s="9">
        <f t="shared" si="13"/>
        <v>5.0730000000000004</v>
      </c>
    </row>
    <row r="869" spans="1:13" x14ac:dyDescent="0.3">
      <c r="A869" t="s">
        <v>1190</v>
      </c>
      <c r="B869" s="1">
        <v>45917</v>
      </c>
      <c r="C869" t="s">
        <v>271</v>
      </c>
      <c r="D869" t="s">
        <v>40</v>
      </c>
      <c r="E869" t="s">
        <v>65</v>
      </c>
      <c r="F869" t="s">
        <v>16</v>
      </c>
      <c r="G869" t="s">
        <v>22</v>
      </c>
      <c r="H869">
        <v>1</v>
      </c>
      <c r="I869" s="12">
        <v>16.79</v>
      </c>
      <c r="J869" s="12">
        <v>0.15</v>
      </c>
      <c r="K869" s="9">
        <v>14.27</v>
      </c>
      <c r="L869" s="9">
        <v>1.4</v>
      </c>
      <c r="M869" s="9">
        <f t="shared" si="13"/>
        <v>2.5185</v>
      </c>
    </row>
    <row r="870" spans="1:13" x14ac:dyDescent="0.3">
      <c r="A870" t="s">
        <v>1191</v>
      </c>
      <c r="B870" s="1">
        <v>45917</v>
      </c>
      <c r="C870" t="s">
        <v>84</v>
      </c>
      <c r="D870" t="s">
        <v>40</v>
      </c>
      <c r="E870" t="s">
        <v>92</v>
      </c>
      <c r="F870" t="s">
        <v>16</v>
      </c>
      <c r="G870" t="s">
        <v>32</v>
      </c>
      <c r="H870">
        <v>2</v>
      </c>
      <c r="I870" s="12">
        <v>8.16</v>
      </c>
      <c r="J870" s="12">
        <v>0.05</v>
      </c>
      <c r="K870" s="9">
        <v>15.5</v>
      </c>
      <c r="L870" s="9">
        <v>2.4700000000000002</v>
      </c>
      <c r="M870" s="9">
        <f t="shared" si="13"/>
        <v>0.81600000000000006</v>
      </c>
    </row>
    <row r="871" spans="1:13" x14ac:dyDescent="0.3">
      <c r="A871" t="s">
        <v>1192</v>
      </c>
      <c r="B871" s="1">
        <v>45917</v>
      </c>
      <c r="C871" t="s">
        <v>36</v>
      </c>
      <c r="D871" t="s">
        <v>14</v>
      </c>
      <c r="E871" t="s">
        <v>56</v>
      </c>
      <c r="F871" t="s">
        <v>21</v>
      </c>
      <c r="G871" t="s">
        <v>32</v>
      </c>
      <c r="H871">
        <v>1</v>
      </c>
      <c r="I871" s="12">
        <v>340.45</v>
      </c>
      <c r="J871" s="12">
        <v>0.05</v>
      </c>
      <c r="K871" s="9">
        <v>323.42</v>
      </c>
      <c r="L871" s="9">
        <v>40.479999999999997</v>
      </c>
      <c r="M871" s="9">
        <f t="shared" si="13"/>
        <v>17.022500000000001</v>
      </c>
    </row>
    <row r="872" spans="1:13" x14ac:dyDescent="0.3">
      <c r="A872" t="s">
        <v>1193</v>
      </c>
      <c r="B872" s="1">
        <v>45918</v>
      </c>
      <c r="C872" t="s">
        <v>380</v>
      </c>
      <c r="D872" t="s">
        <v>40</v>
      </c>
      <c r="E872" t="s">
        <v>20</v>
      </c>
      <c r="F872" t="s">
        <v>21</v>
      </c>
      <c r="G872" t="s">
        <v>17</v>
      </c>
      <c r="H872">
        <v>2</v>
      </c>
      <c r="I872" s="12">
        <v>196.14</v>
      </c>
      <c r="J872" s="12">
        <v>0</v>
      </c>
      <c r="K872" s="9">
        <v>392.29</v>
      </c>
      <c r="L872" s="9">
        <v>91.29</v>
      </c>
      <c r="M872" s="9">
        <f t="shared" si="13"/>
        <v>0</v>
      </c>
    </row>
    <row r="873" spans="1:13" x14ac:dyDescent="0.3">
      <c r="A873" t="s">
        <v>1194</v>
      </c>
      <c r="B873" s="1">
        <v>45918</v>
      </c>
      <c r="C873" t="s">
        <v>736</v>
      </c>
      <c r="D873" t="s">
        <v>14</v>
      </c>
      <c r="E873" t="s">
        <v>51</v>
      </c>
      <c r="F873" t="s">
        <v>27</v>
      </c>
      <c r="G873" t="s">
        <v>28</v>
      </c>
      <c r="H873">
        <v>1</v>
      </c>
      <c r="I873" s="12">
        <v>883.77</v>
      </c>
      <c r="J873" s="12">
        <v>0.05</v>
      </c>
      <c r="K873" s="9">
        <v>839.58</v>
      </c>
      <c r="L873" s="9">
        <v>190.49</v>
      </c>
      <c r="M873" s="9">
        <f t="shared" si="13"/>
        <v>44.188500000000005</v>
      </c>
    </row>
    <row r="874" spans="1:13" x14ac:dyDescent="0.3">
      <c r="A874" t="s">
        <v>1195</v>
      </c>
      <c r="B874" s="1">
        <v>45918</v>
      </c>
      <c r="C874" t="s">
        <v>1013</v>
      </c>
      <c r="D874" t="s">
        <v>14</v>
      </c>
      <c r="E874" t="s">
        <v>110</v>
      </c>
      <c r="F874" t="s">
        <v>42</v>
      </c>
      <c r="G874" t="s">
        <v>28</v>
      </c>
      <c r="H874">
        <v>1</v>
      </c>
      <c r="I874" s="12">
        <v>22.38</v>
      </c>
      <c r="J874" s="12">
        <v>0</v>
      </c>
      <c r="K874" s="9">
        <v>22.38</v>
      </c>
      <c r="L874" s="9">
        <v>3.83</v>
      </c>
      <c r="M874" s="9">
        <f t="shared" si="13"/>
        <v>0</v>
      </c>
    </row>
    <row r="875" spans="1:13" x14ac:dyDescent="0.3">
      <c r="A875" t="s">
        <v>1196</v>
      </c>
      <c r="B875" s="1">
        <v>45919</v>
      </c>
      <c r="C875" t="s">
        <v>959</v>
      </c>
      <c r="D875" t="s">
        <v>14</v>
      </c>
      <c r="E875" t="s">
        <v>92</v>
      </c>
      <c r="F875" t="s">
        <v>16</v>
      </c>
      <c r="G875" t="s">
        <v>28</v>
      </c>
      <c r="H875">
        <v>1</v>
      </c>
      <c r="I875" s="12">
        <v>8.82</v>
      </c>
      <c r="J875" s="12">
        <v>0.05</v>
      </c>
      <c r="K875" s="9">
        <v>8.3800000000000008</v>
      </c>
      <c r="L875" s="9">
        <v>2.21</v>
      </c>
      <c r="M875" s="9">
        <f t="shared" si="13"/>
        <v>0.44100000000000006</v>
      </c>
    </row>
    <row r="876" spans="1:13" x14ac:dyDescent="0.3">
      <c r="A876" t="s">
        <v>1197</v>
      </c>
      <c r="B876" s="1">
        <v>45919</v>
      </c>
      <c r="C876" t="s">
        <v>205</v>
      </c>
      <c r="D876" t="s">
        <v>25</v>
      </c>
      <c r="E876" t="s">
        <v>26</v>
      </c>
      <c r="F876" t="s">
        <v>27</v>
      </c>
      <c r="G876" t="s">
        <v>17</v>
      </c>
      <c r="H876">
        <v>2</v>
      </c>
      <c r="I876" s="12">
        <v>70.95</v>
      </c>
      <c r="J876" s="12">
        <v>0.15</v>
      </c>
      <c r="K876" s="9">
        <v>120.61</v>
      </c>
      <c r="L876" s="9">
        <v>11.99</v>
      </c>
      <c r="M876" s="9">
        <f t="shared" si="13"/>
        <v>21.285</v>
      </c>
    </row>
    <row r="877" spans="1:13" x14ac:dyDescent="0.3">
      <c r="A877" t="s">
        <v>1198</v>
      </c>
      <c r="B877" s="1">
        <v>45919</v>
      </c>
      <c r="C877" t="s">
        <v>406</v>
      </c>
      <c r="D877" t="s">
        <v>14</v>
      </c>
      <c r="E877" t="s">
        <v>37</v>
      </c>
      <c r="F877" t="s">
        <v>27</v>
      </c>
      <c r="G877" t="s">
        <v>28</v>
      </c>
      <c r="H877">
        <v>5</v>
      </c>
      <c r="I877" s="12">
        <v>227.51</v>
      </c>
      <c r="J877" s="12">
        <v>0.05</v>
      </c>
      <c r="K877" s="9">
        <v>1080.69</v>
      </c>
      <c r="L877" s="9">
        <v>225.25</v>
      </c>
      <c r="M877" s="9">
        <f t="shared" si="13"/>
        <v>56.877499999999998</v>
      </c>
    </row>
    <row r="878" spans="1:13" x14ac:dyDescent="0.3">
      <c r="A878" t="s">
        <v>1199</v>
      </c>
      <c r="B878" s="1">
        <v>45919</v>
      </c>
      <c r="C878" t="s">
        <v>875</v>
      </c>
      <c r="D878" t="s">
        <v>14</v>
      </c>
      <c r="E878" t="s">
        <v>37</v>
      </c>
      <c r="F878" t="s">
        <v>27</v>
      </c>
      <c r="G878" t="s">
        <v>22</v>
      </c>
      <c r="H878">
        <v>1</v>
      </c>
      <c r="I878" s="12">
        <v>218.41</v>
      </c>
      <c r="J878" s="12">
        <v>0.15</v>
      </c>
      <c r="K878" s="9">
        <v>185.65</v>
      </c>
      <c r="L878" s="9">
        <v>28.47</v>
      </c>
      <c r="M878" s="9">
        <f t="shared" si="13"/>
        <v>32.761499999999998</v>
      </c>
    </row>
    <row r="879" spans="1:13" x14ac:dyDescent="0.3">
      <c r="A879" t="s">
        <v>1200</v>
      </c>
      <c r="B879" s="1">
        <v>45920</v>
      </c>
      <c r="C879" t="s">
        <v>778</v>
      </c>
      <c r="D879" t="s">
        <v>14</v>
      </c>
      <c r="E879" t="s">
        <v>26</v>
      </c>
      <c r="F879" t="s">
        <v>27</v>
      </c>
      <c r="G879" t="s">
        <v>17</v>
      </c>
      <c r="H879">
        <v>2</v>
      </c>
      <c r="I879" s="12">
        <v>78.92</v>
      </c>
      <c r="J879" s="12">
        <v>0.2</v>
      </c>
      <c r="K879" s="9">
        <v>126.28</v>
      </c>
      <c r="L879" s="9">
        <v>16.989999999999998</v>
      </c>
      <c r="M879" s="9">
        <f t="shared" si="13"/>
        <v>31.568000000000001</v>
      </c>
    </row>
    <row r="880" spans="1:13" x14ac:dyDescent="0.3">
      <c r="A880" t="s">
        <v>1201</v>
      </c>
      <c r="B880" s="1">
        <v>45921</v>
      </c>
      <c r="C880" t="s">
        <v>585</v>
      </c>
      <c r="D880" t="s">
        <v>40</v>
      </c>
      <c r="E880" t="s">
        <v>65</v>
      </c>
      <c r="F880" t="s">
        <v>16</v>
      </c>
      <c r="G880" t="s">
        <v>22</v>
      </c>
      <c r="H880">
        <v>3</v>
      </c>
      <c r="I880" s="12">
        <v>16.899999999999999</v>
      </c>
      <c r="J880" s="12">
        <v>0.05</v>
      </c>
      <c r="K880" s="9">
        <v>48.16</v>
      </c>
      <c r="L880" s="9">
        <v>6.05</v>
      </c>
      <c r="M880" s="9">
        <f t="shared" si="13"/>
        <v>2.5350000000000001</v>
      </c>
    </row>
    <row r="881" spans="1:13" x14ac:dyDescent="0.3">
      <c r="A881" t="s">
        <v>1202</v>
      </c>
      <c r="B881" s="1">
        <v>45921</v>
      </c>
      <c r="C881" t="s">
        <v>1203</v>
      </c>
      <c r="D881" t="s">
        <v>14</v>
      </c>
      <c r="E881" t="s">
        <v>92</v>
      </c>
      <c r="F881" t="s">
        <v>16</v>
      </c>
      <c r="G881" t="s">
        <v>32</v>
      </c>
      <c r="H881">
        <v>3</v>
      </c>
      <c r="I881" s="12">
        <v>9.39</v>
      </c>
      <c r="J881" s="12">
        <v>0.2</v>
      </c>
      <c r="K881" s="9">
        <v>22.54</v>
      </c>
      <c r="L881" s="9">
        <v>5.13</v>
      </c>
      <c r="M881" s="9">
        <f t="shared" si="13"/>
        <v>5.6340000000000003</v>
      </c>
    </row>
    <row r="882" spans="1:13" x14ac:dyDescent="0.3">
      <c r="A882" t="s">
        <v>1204</v>
      </c>
      <c r="B882" s="1">
        <v>45921</v>
      </c>
      <c r="C882" t="s">
        <v>1003</v>
      </c>
      <c r="D882" t="s">
        <v>14</v>
      </c>
      <c r="E882" t="s">
        <v>31</v>
      </c>
      <c r="F882" t="s">
        <v>21</v>
      </c>
      <c r="G882" t="s">
        <v>28</v>
      </c>
      <c r="H882">
        <v>1</v>
      </c>
      <c r="I882" s="12">
        <v>41.23</v>
      </c>
      <c r="J882" s="12">
        <v>0.1</v>
      </c>
      <c r="K882" s="9">
        <v>37.11</v>
      </c>
      <c r="L882" s="9">
        <v>2.5099999999999998</v>
      </c>
      <c r="M882" s="9">
        <f t="shared" si="13"/>
        <v>4.1230000000000002</v>
      </c>
    </row>
    <row r="883" spans="1:13" x14ac:dyDescent="0.3">
      <c r="A883" t="s">
        <v>1205</v>
      </c>
      <c r="B883" s="1">
        <v>45921</v>
      </c>
      <c r="C883" t="s">
        <v>114</v>
      </c>
      <c r="D883" t="s">
        <v>14</v>
      </c>
      <c r="E883" t="s">
        <v>51</v>
      </c>
      <c r="F883" t="s">
        <v>27</v>
      </c>
      <c r="G883" t="s">
        <v>22</v>
      </c>
      <c r="H883">
        <v>1</v>
      </c>
      <c r="I883" s="12">
        <v>1010.9</v>
      </c>
      <c r="J883" s="12">
        <v>0.15</v>
      </c>
      <c r="K883" s="9">
        <v>859.26</v>
      </c>
      <c r="L883" s="9">
        <v>179.08</v>
      </c>
      <c r="M883" s="9">
        <f t="shared" si="13"/>
        <v>151.63499999999999</v>
      </c>
    </row>
    <row r="884" spans="1:13" x14ac:dyDescent="0.3">
      <c r="A884" t="s">
        <v>1206</v>
      </c>
      <c r="B884" s="1">
        <v>45922</v>
      </c>
      <c r="C884" t="s">
        <v>366</v>
      </c>
      <c r="D884" t="s">
        <v>14</v>
      </c>
      <c r="E884" t="s">
        <v>54</v>
      </c>
      <c r="F884" t="s">
        <v>27</v>
      </c>
      <c r="G884" t="s">
        <v>32</v>
      </c>
      <c r="H884">
        <v>1</v>
      </c>
      <c r="I884" s="12">
        <v>29.7</v>
      </c>
      <c r="J884" s="12">
        <v>0.1</v>
      </c>
      <c r="K884" s="9">
        <v>26.73</v>
      </c>
      <c r="L884" s="9">
        <v>6.29</v>
      </c>
      <c r="M884" s="9">
        <f t="shared" si="13"/>
        <v>2.97</v>
      </c>
    </row>
    <row r="885" spans="1:13" x14ac:dyDescent="0.3">
      <c r="A885" t="s">
        <v>1207</v>
      </c>
      <c r="B885" s="1">
        <v>45922</v>
      </c>
      <c r="C885" t="s">
        <v>334</v>
      </c>
      <c r="D885" t="s">
        <v>25</v>
      </c>
      <c r="E885" t="s">
        <v>56</v>
      </c>
      <c r="F885" t="s">
        <v>21</v>
      </c>
      <c r="G885" t="s">
        <v>17</v>
      </c>
      <c r="H885">
        <v>2</v>
      </c>
      <c r="I885" s="12">
        <v>299.39</v>
      </c>
      <c r="J885" s="12">
        <v>0.05</v>
      </c>
      <c r="K885" s="9">
        <v>568.84</v>
      </c>
      <c r="L885" s="9">
        <v>100.92</v>
      </c>
      <c r="M885" s="9">
        <f t="shared" si="13"/>
        <v>29.939</v>
      </c>
    </row>
    <row r="886" spans="1:13" x14ac:dyDescent="0.3">
      <c r="A886" t="s">
        <v>1208</v>
      </c>
      <c r="B886" s="1">
        <v>45923</v>
      </c>
      <c r="C886" t="s">
        <v>736</v>
      </c>
      <c r="D886" t="s">
        <v>14</v>
      </c>
      <c r="E886" t="s">
        <v>41</v>
      </c>
      <c r="F886" t="s">
        <v>42</v>
      </c>
      <c r="G886" t="s">
        <v>22</v>
      </c>
      <c r="H886">
        <v>2</v>
      </c>
      <c r="I886" s="12">
        <v>50.5</v>
      </c>
      <c r="J886" s="12">
        <v>0.1</v>
      </c>
      <c r="K886" s="9">
        <v>90.89</v>
      </c>
      <c r="L886" s="9">
        <v>14.59</v>
      </c>
      <c r="M886" s="9">
        <f t="shared" si="13"/>
        <v>10.100000000000001</v>
      </c>
    </row>
    <row r="887" spans="1:13" x14ac:dyDescent="0.3">
      <c r="A887" t="s">
        <v>1209</v>
      </c>
      <c r="B887" s="1">
        <v>45923</v>
      </c>
      <c r="C887" t="s">
        <v>217</v>
      </c>
      <c r="D887" t="s">
        <v>14</v>
      </c>
      <c r="E887" t="s">
        <v>65</v>
      </c>
      <c r="F887" t="s">
        <v>16</v>
      </c>
      <c r="G887" t="s">
        <v>17</v>
      </c>
      <c r="H887">
        <v>2</v>
      </c>
      <c r="I887" s="12">
        <v>17.47</v>
      </c>
      <c r="J887" s="12">
        <v>0</v>
      </c>
      <c r="K887" s="9">
        <v>34.93</v>
      </c>
      <c r="L887" s="9">
        <v>7.72</v>
      </c>
      <c r="M887" s="9">
        <f t="shared" si="13"/>
        <v>0</v>
      </c>
    </row>
    <row r="888" spans="1:13" x14ac:dyDescent="0.3">
      <c r="A888" t="s">
        <v>1210</v>
      </c>
      <c r="B888" s="1">
        <v>45923</v>
      </c>
      <c r="C888" t="s">
        <v>19</v>
      </c>
      <c r="D888" t="s">
        <v>25</v>
      </c>
      <c r="E888" t="s">
        <v>92</v>
      </c>
      <c r="F888" t="s">
        <v>16</v>
      </c>
      <c r="G888" t="s">
        <v>32</v>
      </c>
      <c r="H888">
        <v>1</v>
      </c>
      <c r="I888" s="12">
        <v>9.8699999999999992</v>
      </c>
      <c r="J888" s="12">
        <v>0.1</v>
      </c>
      <c r="K888" s="9">
        <v>8.8800000000000008</v>
      </c>
      <c r="L888" s="9">
        <v>0.98</v>
      </c>
      <c r="M888" s="9">
        <f t="shared" si="13"/>
        <v>0.98699999999999999</v>
      </c>
    </row>
    <row r="889" spans="1:13" x14ac:dyDescent="0.3">
      <c r="A889" t="s">
        <v>1211</v>
      </c>
      <c r="B889" s="1">
        <v>45923</v>
      </c>
      <c r="C889" t="s">
        <v>214</v>
      </c>
      <c r="D889" t="s">
        <v>14</v>
      </c>
      <c r="E889" t="s">
        <v>15</v>
      </c>
      <c r="F889" t="s">
        <v>16</v>
      </c>
      <c r="G889" t="s">
        <v>17</v>
      </c>
      <c r="H889">
        <v>3</v>
      </c>
      <c r="I889" s="12">
        <v>14.39</v>
      </c>
      <c r="J889" s="12">
        <v>0</v>
      </c>
      <c r="K889" s="9">
        <v>43.18</v>
      </c>
      <c r="L889" s="9">
        <v>11.03</v>
      </c>
      <c r="M889" s="9">
        <f t="shared" si="13"/>
        <v>0</v>
      </c>
    </row>
    <row r="890" spans="1:13" x14ac:dyDescent="0.3">
      <c r="A890" t="s">
        <v>1212</v>
      </c>
      <c r="B890" s="1">
        <v>45923</v>
      </c>
      <c r="C890" t="s">
        <v>1077</v>
      </c>
      <c r="D890" t="s">
        <v>25</v>
      </c>
      <c r="E890" t="s">
        <v>56</v>
      </c>
      <c r="F890" t="s">
        <v>21</v>
      </c>
      <c r="G890" t="s">
        <v>28</v>
      </c>
      <c r="H890">
        <v>2</v>
      </c>
      <c r="I890" s="12">
        <v>300.77999999999997</v>
      </c>
      <c r="J890" s="12">
        <v>0.15</v>
      </c>
      <c r="K890" s="9">
        <v>511.32</v>
      </c>
      <c r="L890" s="9">
        <v>124.03</v>
      </c>
      <c r="M890" s="9">
        <f t="shared" si="13"/>
        <v>90.233999999999995</v>
      </c>
    </row>
    <row r="891" spans="1:13" x14ac:dyDescent="0.3">
      <c r="A891" t="s">
        <v>1213</v>
      </c>
      <c r="B891" s="1">
        <v>45924</v>
      </c>
      <c r="C891" t="s">
        <v>481</v>
      </c>
      <c r="D891" t="s">
        <v>40</v>
      </c>
      <c r="E891" t="s">
        <v>56</v>
      </c>
      <c r="F891" t="s">
        <v>21</v>
      </c>
      <c r="G891" t="s">
        <v>28</v>
      </c>
      <c r="H891">
        <v>2</v>
      </c>
      <c r="I891" s="12">
        <v>338.05</v>
      </c>
      <c r="J891" s="12">
        <v>0.1</v>
      </c>
      <c r="K891" s="9">
        <v>608.49</v>
      </c>
      <c r="L891" s="9">
        <v>98.44</v>
      </c>
      <c r="M891" s="9">
        <f t="shared" si="13"/>
        <v>67.61</v>
      </c>
    </row>
    <row r="892" spans="1:13" x14ac:dyDescent="0.3">
      <c r="A892" t="s">
        <v>1214</v>
      </c>
      <c r="B892" s="1">
        <v>45924</v>
      </c>
      <c r="C892" t="s">
        <v>116</v>
      </c>
      <c r="D892" t="s">
        <v>40</v>
      </c>
      <c r="E892" t="s">
        <v>26</v>
      </c>
      <c r="F892" t="s">
        <v>27</v>
      </c>
      <c r="G892" t="s">
        <v>32</v>
      </c>
      <c r="H892">
        <v>3</v>
      </c>
      <c r="I892" s="12">
        <v>75.64</v>
      </c>
      <c r="J892" s="12">
        <v>0.05</v>
      </c>
      <c r="K892" s="9">
        <v>215.56</v>
      </c>
      <c r="L892" s="9">
        <v>55.28</v>
      </c>
      <c r="M892" s="9">
        <f t="shared" si="13"/>
        <v>11.346000000000002</v>
      </c>
    </row>
    <row r="893" spans="1:13" x14ac:dyDescent="0.3">
      <c r="A893" t="s">
        <v>1215</v>
      </c>
      <c r="B893" s="1">
        <v>45924</v>
      </c>
      <c r="C893" t="s">
        <v>610</v>
      </c>
      <c r="D893" t="s">
        <v>14</v>
      </c>
      <c r="E893" t="s">
        <v>26</v>
      </c>
      <c r="F893" t="s">
        <v>27</v>
      </c>
      <c r="G893" t="s">
        <v>28</v>
      </c>
      <c r="H893">
        <v>1</v>
      </c>
      <c r="I893" s="12">
        <v>72.849999999999994</v>
      </c>
      <c r="J893" s="12">
        <v>0.05</v>
      </c>
      <c r="K893" s="9">
        <v>69.209999999999994</v>
      </c>
      <c r="L893" s="9">
        <v>17.62</v>
      </c>
      <c r="M893" s="9">
        <f t="shared" si="13"/>
        <v>3.6425000000000001</v>
      </c>
    </row>
    <row r="894" spans="1:13" x14ac:dyDescent="0.3">
      <c r="A894" t="s">
        <v>1216</v>
      </c>
      <c r="B894" s="1">
        <v>45925</v>
      </c>
      <c r="C894" t="s">
        <v>159</v>
      </c>
      <c r="D894" t="s">
        <v>14</v>
      </c>
      <c r="E894" t="s">
        <v>31</v>
      </c>
      <c r="F894" t="s">
        <v>21</v>
      </c>
      <c r="G894" t="s">
        <v>22</v>
      </c>
      <c r="H894">
        <v>1</v>
      </c>
      <c r="I894" s="12">
        <v>45.95</v>
      </c>
      <c r="J894" s="12">
        <v>0.1</v>
      </c>
      <c r="K894" s="9">
        <v>41.35</v>
      </c>
      <c r="L894" s="9">
        <v>8.1300000000000008</v>
      </c>
      <c r="M894" s="9">
        <f t="shared" si="13"/>
        <v>4.5950000000000006</v>
      </c>
    </row>
    <row r="895" spans="1:13" x14ac:dyDescent="0.3">
      <c r="A895" t="s">
        <v>1217</v>
      </c>
      <c r="B895" s="1">
        <v>45925</v>
      </c>
      <c r="C895" t="s">
        <v>116</v>
      </c>
      <c r="D895" t="s">
        <v>14</v>
      </c>
      <c r="E895" t="s">
        <v>15</v>
      </c>
      <c r="F895" t="s">
        <v>16</v>
      </c>
      <c r="G895" t="s">
        <v>17</v>
      </c>
      <c r="H895">
        <v>2</v>
      </c>
      <c r="I895" s="12">
        <v>12.61</v>
      </c>
      <c r="J895" s="12">
        <v>0.05</v>
      </c>
      <c r="K895" s="9">
        <v>23.95</v>
      </c>
      <c r="L895" s="9">
        <v>2.89</v>
      </c>
      <c r="M895" s="9">
        <f t="shared" si="13"/>
        <v>1.2610000000000001</v>
      </c>
    </row>
    <row r="896" spans="1:13" x14ac:dyDescent="0.3">
      <c r="A896" t="s">
        <v>1218</v>
      </c>
      <c r="B896" s="1">
        <v>45925</v>
      </c>
      <c r="C896" t="s">
        <v>537</v>
      </c>
      <c r="D896" t="s">
        <v>25</v>
      </c>
      <c r="E896" t="s">
        <v>15</v>
      </c>
      <c r="F896" t="s">
        <v>16</v>
      </c>
      <c r="G896" t="s">
        <v>28</v>
      </c>
      <c r="H896">
        <v>2</v>
      </c>
      <c r="I896" s="12">
        <v>14.42</v>
      </c>
      <c r="J896" s="12">
        <v>0</v>
      </c>
      <c r="K896" s="9">
        <v>28.83</v>
      </c>
      <c r="L896" s="9">
        <v>2.7</v>
      </c>
      <c r="M896" s="9">
        <f t="shared" si="13"/>
        <v>0</v>
      </c>
    </row>
    <row r="897" spans="1:13" x14ac:dyDescent="0.3">
      <c r="A897" t="s">
        <v>1219</v>
      </c>
      <c r="B897" s="1">
        <v>45925</v>
      </c>
      <c r="C897" t="s">
        <v>516</v>
      </c>
      <c r="D897" t="s">
        <v>40</v>
      </c>
      <c r="E897" t="s">
        <v>20</v>
      </c>
      <c r="F897" t="s">
        <v>21</v>
      </c>
      <c r="G897" t="s">
        <v>22</v>
      </c>
      <c r="H897">
        <v>1</v>
      </c>
      <c r="I897" s="12">
        <v>192.36</v>
      </c>
      <c r="J897" s="12">
        <v>0.05</v>
      </c>
      <c r="K897" s="9">
        <v>182.74</v>
      </c>
      <c r="L897" s="9">
        <v>30.72</v>
      </c>
      <c r="M897" s="9">
        <f t="shared" si="13"/>
        <v>9.6180000000000021</v>
      </c>
    </row>
    <row r="898" spans="1:13" x14ac:dyDescent="0.3">
      <c r="A898" t="s">
        <v>1220</v>
      </c>
      <c r="B898" s="1">
        <v>45925</v>
      </c>
      <c r="C898" t="s">
        <v>462</v>
      </c>
      <c r="D898" t="s">
        <v>14</v>
      </c>
      <c r="E898" t="s">
        <v>56</v>
      </c>
      <c r="F898" t="s">
        <v>21</v>
      </c>
      <c r="G898" t="s">
        <v>32</v>
      </c>
      <c r="H898">
        <v>1</v>
      </c>
      <c r="I898" s="12">
        <v>318.87</v>
      </c>
      <c r="J898" s="12">
        <v>0.2</v>
      </c>
      <c r="K898" s="9">
        <v>255.1</v>
      </c>
      <c r="L898" s="9">
        <v>35.85</v>
      </c>
      <c r="M898" s="9">
        <f t="shared" si="13"/>
        <v>63.774000000000001</v>
      </c>
    </row>
    <row r="899" spans="1:13" x14ac:dyDescent="0.3">
      <c r="A899" t="s">
        <v>1221</v>
      </c>
      <c r="B899" s="1">
        <v>45926</v>
      </c>
      <c r="C899" t="s">
        <v>24</v>
      </c>
      <c r="D899" t="s">
        <v>14</v>
      </c>
      <c r="E899" t="s">
        <v>51</v>
      </c>
      <c r="F899" t="s">
        <v>27</v>
      </c>
      <c r="G899" t="s">
        <v>28</v>
      </c>
      <c r="H899">
        <v>1</v>
      </c>
      <c r="I899" s="12">
        <v>1004.58</v>
      </c>
      <c r="J899" s="12">
        <v>0.2</v>
      </c>
      <c r="K899" s="9">
        <v>803.66</v>
      </c>
      <c r="L899" s="9">
        <v>86.03</v>
      </c>
      <c r="M899" s="9">
        <f t="shared" ref="M899:M962" si="14">H899*I899*J899</f>
        <v>200.91600000000003</v>
      </c>
    </row>
    <row r="900" spans="1:13" x14ac:dyDescent="0.3">
      <c r="A900" t="s">
        <v>1222</v>
      </c>
      <c r="B900" s="1">
        <v>45927</v>
      </c>
      <c r="C900" t="s">
        <v>389</v>
      </c>
      <c r="D900" t="s">
        <v>14</v>
      </c>
      <c r="E900" t="s">
        <v>51</v>
      </c>
      <c r="F900" t="s">
        <v>27</v>
      </c>
      <c r="G900" t="s">
        <v>22</v>
      </c>
      <c r="H900">
        <v>1</v>
      </c>
      <c r="I900" s="12">
        <v>990.73</v>
      </c>
      <c r="J900" s="12">
        <v>0.05</v>
      </c>
      <c r="K900" s="9">
        <v>941.2</v>
      </c>
      <c r="L900" s="9">
        <v>235.81</v>
      </c>
      <c r="M900" s="9">
        <f t="shared" si="14"/>
        <v>49.536500000000004</v>
      </c>
    </row>
    <row r="901" spans="1:13" x14ac:dyDescent="0.3">
      <c r="A901" t="s">
        <v>1223</v>
      </c>
      <c r="B901" s="1">
        <v>45927</v>
      </c>
      <c r="C901" t="s">
        <v>89</v>
      </c>
      <c r="D901" t="s">
        <v>40</v>
      </c>
      <c r="E901" t="s">
        <v>31</v>
      </c>
      <c r="F901" t="s">
        <v>21</v>
      </c>
      <c r="G901" t="s">
        <v>17</v>
      </c>
      <c r="H901">
        <v>1</v>
      </c>
      <c r="I901" s="12">
        <v>41.07</v>
      </c>
      <c r="J901" s="12">
        <v>0</v>
      </c>
      <c r="K901" s="9">
        <v>41.07</v>
      </c>
      <c r="L901" s="9">
        <v>7.49</v>
      </c>
      <c r="M901" s="9">
        <f t="shared" si="14"/>
        <v>0</v>
      </c>
    </row>
    <row r="902" spans="1:13" x14ac:dyDescent="0.3">
      <c r="A902" t="s">
        <v>1224</v>
      </c>
      <c r="B902" s="1">
        <v>45927</v>
      </c>
      <c r="C902" t="s">
        <v>313</v>
      </c>
      <c r="D902" t="s">
        <v>14</v>
      </c>
      <c r="E902" t="s">
        <v>15</v>
      </c>
      <c r="F902" t="s">
        <v>16</v>
      </c>
      <c r="G902" t="s">
        <v>17</v>
      </c>
      <c r="H902">
        <v>2</v>
      </c>
      <c r="I902" s="12">
        <v>15.19</v>
      </c>
      <c r="J902" s="12">
        <v>0</v>
      </c>
      <c r="K902" s="9">
        <v>30.38</v>
      </c>
      <c r="L902" s="9">
        <v>5.6</v>
      </c>
      <c r="M902" s="9">
        <f t="shared" si="14"/>
        <v>0</v>
      </c>
    </row>
    <row r="903" spans="1:13" x14ac:dyDescent="0.3">
      <c r="A903" t="s">
        <v>1225</v>
      </c>
      <c r="B903" s="1">
        <v>45927</v>
      </c>
      <c r="C903" t="s">
        <v>690</v>
      </c>
      <c r="D903" t="s">
        <v>14</v>
      </c>
      <c r="E903" t="s">
        <v>54</v>
      </c>
      <c r="F903" t="s">
        <v>27</v>
      </c>
      <c r="G903" t="s">
        <v>22</v>
      </c>
      <c r="H903">
        <v>3</v>
      </c>
      <c r="I903" s="12">
        <v>26.63</v>
      </c>
      <c r="J903" s="12">
        <v>0.05</v>
      </c>
      <c r="K903" s="9">
        <v>75.91</v>
      </c>
      <c r="L903" s="9">
        <v>15.32</v>
      </c>
      <c r="M903" s="9">
        <f t="shared" si="14"/>
        <v>3.9945000000000004</v>
      </c>
    </row>
    <row r="904" spans="1:13" x14ac:dyDescent="0.3">
      <c r="A904" t="s">
        <v>1226</v>
      </c>
      <c r="B904" s="1">
        <v>45927</v>
      </c>
      <c r="C904" t="s">
        <v>711</v>
      </c>
      <c r="D904" t="s">
        <v>14</v>
      </c>
      <c r="E904" t="s">
        <v>20</v>
      </c>
      <c r="F904" t="s">
        <v>21</v>
      </c>
      <c r="G904" t="s">
        <v>22</v>
      </c>
      <c r="H904">
        <v>1</v>
      </c>
      <c r="I904" s="12">
        <v>190.63</v>
      </c>
      <c r="J904" s="12">
        <v>0.05</v>
      </c>
      <c r="K904" s="9">
        <v>181.1</v>
      </c>
      <c r="L904" s="9">
        <v>40.04</v>
      </c>
      <c r="M904" s="9">
        <f t="shared" si="14"/>
        <v>9.5314999999999994</v>
      </c>
    </row>
    <row r="905" spans="1:13" x14ac:dyDescent="0.3">
      <c r="A905" t="s">
        <v>1227</v>
      </c>
      <c r="B905" s="1">
        <v>45928</v>
      </c>
      <c r="C905" t="s">
        <v>243</v>
      </c>
      <c r="D905" t="s">
        <v>14</v>
      </c>
      <c r="E905" t="s">
        <v>26</v>
      </c>
      <c r="F905" t="s">
        <v>27</v>
      </c>
      <c r="G905" t="s">
        <v>17</v>
      </c>
      <c r="H905">
        <v>2</v>
      </c>
      <c r="I905" s="12">
        <v>68.8</v>
      </c>
      <c r="J905" s="12">
        <v>0</v>
      </c>
      <c r="K905" s="9">
        <v>137.59</v>
      </c>
      <c r="L905" s="9">
        <v>11.05</v>
      </c>
      <c r="M905" s="9">
        <f t="shared" si="14"/>
        <v>0</v>
      </c>
    </row>
    <row r="906" spans="1:13" x14ac:dyDescent="0.3">
      <c r="A906" t="s">
        <v>1228</v>
      </c>
      <c r="B906" s="1">
        <v>45928</v>
      </c>
      <c r="C906" t="s">
        <v>587</v>
      </c>
      <c r="D906" t="s">
        <v>14</v>
      </c>
      <c r="E906" t="s">
        <v>26</v>
      </c>
      <c r="F906" t="s">
        <v>27</v>
      </c>
      <c r="G906" t="s">
        <v>32</v>
      </c>
      <c r="H906">
        <v>2</v>
      </c>
      <c r="I906" s="12">
        <v>71.709999999999994</v>
      </c>
      <c r="J906" s="12">
        <v>0</v>
      </c>
      <c r="K906" s="9">
        <v>143.43</v>
      </c>
      <c r="L906" s="9">
        <v>17.440000000000001</v>
      </c>
      <c r="M906" s="9">
        <f t="shared" si="14"/>
        <v>0</v>
      </c>
    </row>
    <row r="907" spans="1:13" x14ac:dyDescent="0.3">
      <c r="A907" t="s">
        <v>1229</v>
      </c>
      <c r="B907" s="1">
        <v>45929</v>
      </c>
      <c r="C907" t="s">
        <v>529</v>
      </c>
      <c r="D907" t="s">
        <v>14</v>
      </c>
      <c r="E907" t="s">
        <v>15</v>
      </c>
      <c r="F907" t="s">
        <v>16</v>
      </c>
      <c r="G907" t="s">
        <v>17</v>
      </c>
      <c r="H907">
        <v>1</v>
      </c>
      <c r="I907" s="12">
        <v>14.06</v>
      </c>
      <c r="J907" s="12">
        <v>0</v>
      </c>
      <c r="K907" s="9">
        <v>14.06</v>
      </c>
      <c r="L907" s="9">
        <v>3.18</v>
      </c>
      <c r="M907" s="9">
        <f t="shared" si="14"/>
        <v>0</v>
      </c>
    </row>
    <row r="908" spans="1:13" x14ac:dyDescent="0.3">
      <c r="A908" t="s">
        <v>1230</v>
      </c>
      <c r="B908" s="1">
        <v>45930</v>
      </c>
      <c r="C908" t="s">
        <v>103</v>
      </c>
      <c r="D908" t="s">
        <v>25</v>
      </c>
      <c r="E908" t="s">
        <v>110</v>
      </c>
      <c r="F908" t="s">
        <v>42</v>
      </c>
      <c r="G908" t="s">
        <v>17</v>
      </c>
      <c r="H908">
        <v>1</v>
      </c>
      <c r="I908" s="12">
        <v>20.11</v>
      </c>
      <c r="J908" s="12">
        <v>0.05</v>
      </c>
      <c r="K908" s="9">
        <v>19.100000000000001</v>
      </c>
      <c r="L908" s="9">
        <v>4.84</v>
      </c>
      <c r="M908" s="9">
        <f t="shared" si="14"/>
        <v>1.0055000000000001</v>
      </c>
    </row>
    <row r="909" spans="1:13" x14ac:dyDescent="0.3">
      <c r="A909" t="s">
        <v>1231</v>
      </c>
      <c r="B909" s="1">
        <v>45930</v>
      </c>
      <c r="C909" t="s">
        <v>348</v>
      </c>
      <c r="D909" t="s">
        <v>40</v>
      </c>
      <c r="E909" t="s">
        <v>110</v>
      </c>
      <c r="F909" t="s">
        <v>42</v>
      </c>
      <c r="G909" t="s">
        <v>32</v>
      </c>
      <c r="H909">
        <v>4</v>
      </c>
      <c r="I909" s="12">
        <v>22.43</v>
      </c>
      <c r="J909" s="12">
        <v>0</v>
      </c>
      <c r="K909" s="9">
        <v>89.72</v>
      </c>
      <c r="L909" s="9">
        <v>19.11</v>
      </c>
      <c r="M909" s="9">
        <f t="shared" si="14"/>
        <v>0</v>
      </c>
    </row>
    <row r="910" spans="1:13" x14ac:dyDescent="0.3">
      <c r="A910" t="s">
        <v>1232</v>
      </c>
      <c r="B910" s="1">
        <v>45930</v>
      </c>
      <c r="C910" t="s">
        <v>578</v>
      </c>
      <c r="D910" t="s">
        <v>25</v>
      </c>
      <c r="E910" t="s">
        <v>51</v>
      </c>
      <c r="F910" t="s">
        <v>27</v>
      </c>
      <c r="G910" t="s">
        <v>32</v>
      </c>
      <c r="H910">
        <v>3</v>
      </c>
      <c r="I910" s="12">
        <v>1004.97</v>
      </c>
      <c r="J910" s="12">
        <v>0</v>
      </c>
      <c r="K910" s="9">
        <v>3014.9</v>
      </c>
      <c r="L910" s="9">
        <v>260.01</v>
      </c>
      <c r="M910" s="9">
        <f t="shared" si="14"/>
        <v>0</v>
      </c>
    </row>
    <row r="911" spans="1:13" x14ac:dyDescent="0.3">
      <c r="A911" t="s">
        <v>1233</v>
      </c>
      <c r="B911" s="1">
        <v>45930</v>
      </c>
      <c r="C911" t="s">
        <v>416</v>
      </c>
      <c r="D911" t="s">
        <v>14</v>
      </c>
      <c r="E911" t="s">
        <v>41</v>
      </c>
      <c r="F911" t="s">
        <v>42</v>
      </c>
      <c r="G911" t="s">
        <v>32</v>
      </c>
      <c r="H911">
        <v>1</v>
      </c>
      <c r="I911" s="12">
        <v>56.15</v>
      </c>
      <c r="J911" s="12">
        <v>0.15</v>
      </c>
      <c r="K911" s="9">
        <v>47.73</v>
      </c>
      <c r="L911" s="9">
        <v>8.0399999999999991</v>
      </c>
      <c r="M911" s="9">
        <f t="shared" si="14"/>
        <v>8.4224999999999994</v>
      </c>
    </row>
    <row r="912" spans="1:13" x14ac:dyDescent="0.3">
      <c r="A912" t="s">
        <v>1234</v>
      </c>
      <c r="B912" s="1">
        <v>45930</v>
      </c>
      <c r="C912" t="s">
        <v>1235</v>
      </c>
      <c r="D912" t="s">
        <v>25</v>
      </c>
      <c r="E912" t="s">
        <v>92</v>
      </c>
      <c r="F912" t="s">
        <v>16</v>
      </c>
      <c r="G912" t="s">
        <v>28</v>
      </c>
      <c r="H912">
        <v>2</v>
      </c>
      <c r="I912" s="12">
        <v>9.68</v>
      </c>
      <c r="J912" s="12">
        <v>0.05</v>
      </c>
      <c r="K912" s="9">
        <v>18.39</v>
      </c>
      <c r="L912" s="9">
        <v>4.7300000000000004</v>
      </c>
      <c r="M912" s="9">
        <f t="shared" si="14"/>
        <v>0.96799999999999997</v>
      </c>
    </row>
    <row r="913" spans="1:13" x14ac:dyDescent="0.3">
      <c r="A913" t="s">
        <v>1236</v>
      </c>
      <c r="B913" s="1">
        <v>45930</v>
      </c>
      <c r="C913" t="s">
        <v>887</v>
      </c>
      <c r="D913" t="s">
        <v>14</v>
      </c>
      <c r="E913" t="s">
        <v>51</v>
      </c>
      <c r="F913" t="s">
        <v>27</v>
      </c>
      <c r="G913" t="s">
        <v>22</v>
      </c>
      <c r="H913">
        <v>3</v>
      </c>
      <c r="I913" s="12">
        <v>1028.45</v>
      </c>
      <c r="J913" s="12">
        <v>0.05</v>
      </c>
      <c r="K913" s="9">
        <v>2931.08</v>
      </c>
      <c r="L913" s="9">
        <v>540.1</v>
      </c>
      <c r="M913" s="9">
        <f t="shared" si="14"/>
        <v>154.26750000000004</v>
      </c>
    </row>
    <row r="914" spans="1:13" x14ac:dyDescent="0.3">
      <c r="A914" t="s">
        <v>1237</v>
      </c>
      <c r="B914" s="1">
        <v>45930</v>
      </c>
      <c r="C914" t="s">
        <v>212</v>
      </c>
      <c r="D914" t="s">
        <v>14</v>
      </c>
      <c r="E914" t="s">
        <v>15</v>
      </c>
      <c r="F914" t="s">
        <v>16</v>
      </c>
      <c r="G914" t="s">
        <v>32</v>
      </c>
      <c r="H914">
        <v>1</v>
      </c>
      <c r="I914" s="12">
        <v>13.55</v>
      </c>
      <c r="J914" s="12">
        <v>0.1</v>
      </c>
      <c r="K914" s="9">
        <v>12.2</v>
      </c>
      <c r="L914" s="9">
        <v>2.5499999999999998</v>
      </c>
      <c r="M914" s="9">
        <f t="shared" si="14"/>
        <v>1.3550000000000002</v>
      </c>
    </row>
    <row r="915" spans="1:13" x14ac:dyDescent="0.3">
      <c r="A915" t="s">
        <v>1238</v>
      </c>
      <c r="B915" s="1">
        <v>45931</v>
      </c>
      <c r="C915" t="s">
        <v>226</v>
      </c>
      <c r="D915" t="s">
        <v>25</v>
      </c>
      <c r="E915" t="s">
        <v>56</v>
      </c>
      <c r="F915" t="s">
        <v>21</v>
      </c>
      <c r="G915" t="s">
        <v>32</v>
      </c>
      <c r="H915">
        <v>2</v>
      </c>
      <c r="I915" s="12">
        <v>314.5</v>
      </c>
      <c r="J915" s="12">
        <v>0</v>
      </c>
      <c r="K915" s="9">
        <v>628.99</v>
      </c>
      <c r="L915" s="9">
        <v>104.67</v>
      </c>
      <c r="M915" s="9">
        <f t="shared" si="14"/>
        <v>0</v>
      </c>
    </row>
    <row r="916" spans="1:13" x14ac:dyDescent="0.3">
      <c r="A916" t="s">
        <v>1239</v>
      </c>
      <c r="B916" s="1">
        <v>45931</v>
      </c>
      <c r="C916" t="s">
        <v>457</v>
      </c>
      <c r="D916" t="s">
        <v>14</v>
      </c>
      <c r="E916" t="s">
        <v>31</v>
      </c>
      <c r="F916" t="s">
        <v>21</v>
      </c>
      <c r="G916" t="s">
        <v>22</v>
      </c>
      <c r="H916">
        <v>2</v>
      </c>
      <c r="I916" s="12">
        <v>37.799999999999997</v>
      </c>
      <c r="J916" s="12">
        <v>0</v>
      </c>
      <c r="K916" s="9">
        <v>75.599999999999994</v>
      </c>
      <c r="L916" s="9">
        <v>7.97</v>
      </c>
      <c r="M916" s="9">
        <f t="shared" si="14"/>
        <v>0</v>
      </c>
    </row>
    <row r="917" spans="1:13" x14ac:dyDescent="0.3">
      <c r="A917" t="s">
        <v>1240</v>
      </c>
      <c r="B917" s="1">
        <v>45931</v>
      </c>
      <c r="C917" t="s">
        <v>72</v>
      </c>
      <c r="D917" t="s">
        <v>14</v>
      </c>
      <c r="E917" t="s">
        <v>26</v>
      </c>
      <c r="F917" t="s">
        <v>27</v>
      </c>
      <c r="G917" t="s">
        <v>32</v>
      </c>
      <c r="H917">
        <v>1</v>
      </c>
      <c r="I917" s="12">
        <v>79.94</v>
      </c>
      <c r="J917" s="12">
        <v>0</v>
      </c>
      <c r="K917" s="9">
        <v>79.94</v>
      </c>
      <c r="L917" s="9">
        <v>18.100000000000001</v>
      </c>
      <c r="M917" s="9">
        <f t="shared" si="14"/>
        <v>0</v>
      </c>
    </row>
    <row r="918" spans="1:13" x14ac:dyDescent="0.3">
      <c r="A918" t="s">
        <v>1241</v>
      </c>
      <c r="B918" s="1">
        <v>45932</v>
      </c>
      <c r="C918" t="s">
        <v>212</v>
      </c>
      <c r="D918" t="s">
        <v>25</v>
      </c>
      <c r="E918" t="s">
        <v>20</v>
      </c>
      <c r="F918" t="s">
        <v>21</v>
      </c>
      <c r="G918" t="s">
        <v>32</v>
      </c>
      <c r="H918">
        <v>2</v>
      </c>
      <c r="I918" s="12">
        <v>163.58000000000001</v>
      </c>
      <c r="J918" s="12">
        <v>0.1</v>
      </c>
      <c r="K918" s="9">
        <v>294.44</v>
      </c>
      <c r="L918" s="9">
        <v>50.77</v>
      </c>
      <c r="M918" s="9">
        <f t="shared" si="14"/>
        <v>32.716000000000001</v>
      </c>
    </row>
    <row r="919" spans="1:13" x14ac:dyDescent="0.3">
      <c r="A919" t="s">
        <v>1242</v>
      </c>
      <c r="B919" s="1">
        <v>45932</v>
      </c>
      <c r="C919" t="s">
        <v>404</v>
      </c>
      <c r="D919" t="s">
        <v>40</v>
      </c>
      <c r="E919" t="s">
        <v>37</v>
      </c>
      <c r="F919" t="s">
        <v>27</v>
      </c>
      <c r="G919" t="s">
        <v>32</v>
      </c>
      <c r="H919">
        <v>2</v>
      </c>
      <c r="I919" s="12">
        <v>199.16</v>
      </c>
      <c r="J919" s="12">
        <v>0</v>
      </c>
      <c r="K919" s="9">
        <v>398.32</v>
      </c>
      <c r="L919" s="9">
        <v>32.85</v>
      </c>
      <c r="M919" s="9">
        <f t="shared" si="14"/>
        <v>0</v>
      </c>
    </row>
    <row r="920" spans="1:13" x14ac:dyDescent="0.3">
      <c r="A920" t="s">
        <v>1243</v>
      </c>
      <c r="B920" s="1">
        <v>45932</v>
      </c>
      <c r="C920" t="s">
        <v>412</v>
      </c>
      <c r="D920" t="s">
        <v>40</v>
      </c>
      <c r="E920" t="s">
        <v>26</v>
      </c>
      <c r="F920" t="s">
        <v>27</v>
      </c>
      <c r="G920" t="s">
        <v>17</v>
      </c>
      <c r="H920">
        <v>1</v>
      </c>
      <c r="I920" s="12">
        <v>74.87</v>
      </c>
      <c r="J920" s="12">
        <v>0</v>
      </c>
      <c r="K920" s="9">
        <v>74.87</v>
      </c>
      <c r="L920" s="9">
        <v>20.22</v>
      </c>
      <c r="M920" s="9">
        <f t="shared" si="14"/>
        <v>0</v>
      </c>
    </row>
    <row r="921" spans="1:13" x14ac:dyDescent="0.3">
      <c r="A921" t="s">
        <v>1244</v>
      </c>
      <c r="B921" s="1">
        <v>45932</v>
      </c>
      <c r="C921" t="s">
        <v>606</v>
      </c>
      <c r="D921" t="s">
        <v>25</v>
      </c>
      <c r="E921" t="s">
        <v>56</v>
      </c>
      <c r="F921" t="s">
        <v>21</v>
      </c>
      <c r="G921" t="s">
        <v>32</v>
      </c>
      <c r="H921">
        <v>5</v>
      </c>
      <c r="I921" s="12">
        <v>342.43</v>
      </c>
      <c r="J921" s="12">
        <v>0.15</v>
      </c>
      <c r="K921" s="9">
        <v>1455.34</v>
      </c>
      <c r="L921" s="9">
        <v>139.6</v>
      </c>
      <c r="M921" s="9">
        <f t="shared" si="14"/>
        <v>256.82249999999999</v>
      </c>
    </row>
    <row r="922" spans="1:13" x14ac:dyDescent="0.3">
      <c r="A922" t="s">
        <v>1245</v>
      </c>
      <c r="B922" s="1">
        <v>45933</v>
      </c>
      <c r="C922" t="s">
        <v>523</v>
      </c>
      <c r="D922" t="s">
        <v>14</v>
      </c>
      <c r="E922" t="s">
        <v>110</v>
      </c>
      <c r="F922" t="s">
        <v>42</v>
      </c>
      <c r="G922" t="s">
        <v>17</v>
      </c>
      <c r="H922">
        <v>2</v>
      </c>
      <c r="I922" s="12">
        <v>23.5</v>
      </c>
      <c r="J922" s="12">
        <v>0</v>
      </c>
      <c r="K922" s="9">
        <v>47</v>
      </c>
      <c r="L922" s="9">
        <v>8.59</v>
      </c>
      <c r="M922" s="9">
        <f t="shared" si="14"/>
        <v>0</v>
      </c>
    </row>
    <row r="923" spans="1:13" x14ac:dyDescent="0.3">
      <c r="A923" t="s">
        <v>1246</v>
      </c>
      <c r="B923" s="1">
        <v>45933</v>
      </c>
      <c r="C923" t="s">
        <v>633</v>
      </c>
      <c r="D923" t="s">
        <v>14</v>
      </c>
      <c r="E923" t="s">
        <v>26</v>
      </c>
      <c r="F923" t="s">
        <v>27</v>
      </c>
      <c r="G923" t="s">
        <v>28</v>
      </c>
      <c r="H923">
        <v>1</v>
      </c>
      <c r="I923" s="12">
        <v>77</v>
      </c>
      <c r="J923" s="12">
        <v>0.1</v>
      </c>
      <c r="K923" s="9">
        <v>69.3</v>
      </c>
      <c r="L923" s="9">
        <v>10.55</v>
      </c>
      <c r="M923" s="9">
        <f t="shared" si="14"/>
        <v>7.7</v>
      </c>
    </row>
    <row r="924" spans="1:13" x14ac:dyDescent="0.3">
      <c r="A924" t="s">
        <v>1247</v>
      </c>
      <c r="B924" s="1">
        <v>45933</v>
      </c>
      <c r="C924" t="s">
        <v>221</v>
      </c>
      <c r="D924" t="s">
        <v>14</v>
      </c>
      <c r="E924" t="s">
        <v>65</v>
      </c>
      <c r="F924" t="s">
        <v>16</v>
      </c>
      <c r="G924" t="s">
        <v>22</v>
      </c>
      <c r="H924">
        <v>4</v>
      </c>
      <c r="I924" s="12">
        <v>16.95</v>
      </c>
      <c r="J924" s="12">
        <v>0.15</v>
      </c>
      <c r="K924" s="9">
        <v>57.64</v>
      </c>
      <c r="L924" s="9">
        <v>2.81</v>
      </c>
      <c r="M924" s="9">
        <f t="shared" si="14"/>
        <v>10.17</v>
      </c>
    </row>
    <row r="925" spans="1:13" x14ac:dyDescent="0.3">
      <c r="A925" t="s">
        <v>1248</v>
      </c>
      <c r="B925" s="1">
        <v>45933</v>
      </c>
      <c r="C925" t="s">
        <v>189</v>
      </c>
      <c r="D925" t="s">
        <v>40</v>
      </c>
      <c r="E925" t="s">
        <v>37</v>
      </c>
      <c r="F925" t="s">
        <v>27</v>
      </c>
      <c r="G925" t="s">
        <v>17</v>
      </c>
      <c r="H925">
        <v>2</v>
      </c>
      <c r="I925" s="12">
        <v>229.69</v>
      </c>
      <c r="J925" s="12">
        <v>0.05</v>
      </c>
      <c r="K925" s="9">
        <v>436.4</v>
      </c>
      <c r="L925" s="9">
        <v>37.82</v>
      </c>
      <c r="M925" s="9">
        <f t="shared" si="14"/>
        <v>22.969000000000001</v>
      </c>
    </row>
    <row r="926" spans="1:13" x14ac:dyDescent="0.3">
      <c r="A926" t="s">
        <v>1249</v>
      </c>
      <c r="B926" s="1">
        <v>45933</v>
      </c>
      <c r="C926" t="s">
        <v>120</v>
      </c>
      <c r="D926" t="s">
        <v>14</v>
      </c>
      <c r="E926" t="s">
        <v>37</v>
      </c>
      <c r="F926" t="s">
        <v>27</v>
      </c>
      <c r="G926" t="s">
        <v>28</v>
      </c>
      <c r="H926">
        <v>2</v>
      </c>
      <c r="I926" s="12">
        <v>192.94</v>
      </c>
      <c r="J926" s="12">
        <v>0.05</v>
      </c>
      <c r="K926" s="9">
        <v>366.58</v>
      </c>
      <c r="L926" s="9">
        <v>59.69</v>
      </c>
      <c r="M926" s="9">
        <f t="shared" si="14"/>
        <v>19.294</v>
      </c>
    </row>
    <row r="927" spans="1:13" x14ac:dyDescent="0.3">
      <c r="A927" t="s">
        <v>1250</v>
      </c>
      <c r="B927" s="1">
        <v>45933</v>
      </c>
      <c r="C927" t="s">
        <v>285</v>
      </c>
      <c r="D927" t="s">
        <v>14</v>
      </c>
      <c r="E927" t="s">
        <v>56</v>
      </c>
      <c r="F927" t="s">
        <v>21</v>
      </c>
      <c r="G927" t="s">
        <v>28</v>
      </c>
      <c r="H927">
        <v>3</v>
      </c>
      <c r="I927" s="12">
        <v>341.73</v>
      </c>
      <c r="J927" s="12">
        <v>0.1</v>
      </c>
      <c r="K927" s="9">
        <v>922.67</v>
      </c>
      <c r="L927" s="9">
        <v>94.45</v>
      </c>
      <c r="M927" s="9">
        <f t="shared" si="14"/>
        <v>102.51900000000001</v>
      </c>
    </row>
    <row r="928" spans="1:13" x14ac:dyDescent="0.3">
      <c r="A928" t="s">
        <v>1251</v>
      </c>
      <c r="B928" s="1">
        <v>45933</v>
      </c>
      <c r="C928" t="s">
        <v>299</v>
      </c>
      <c r="D928" t="s">
        <v>14</v>
      </c>
      <c r="E928" t="s">
        <v>92</v>
      </c>
      <c r="F928" t="s">
        <v>16</v>
      </c>
      <c r="G928" t="s">
        <v>17</v>
      </c>
      <c r="H928">
        <v>3</v>
      </c>
      <c r="I928" s="12">
        <v>9.33</v>
      </c>
      <c r="J928" s="12">
        <v>0</v>
      </c>
      <c r="K928" s="9">
        <v>27.99</v>
      </c>
      <c r="L928" s="9">
        <v>7.12</v>
      </c>
      <c r="M928" s="9">
        <f t="shared" si="14"/>
        <v>0</v>
      </c>
    </row>
    <row r="929" spans="1:13" x14ac:dyDescent="0.3">
      <c r="A929" t="s">
        <v>1252</v>
      </c>
      <c r="B929" s="1">
        <v>45934</v>
      </c>
      <c r="C929" t="s">
        <v>684</v>
      </c>
      <c r="D929" t="s">
        <v>25</v>
      </c>
      <c r="E929" t="s">
        <v>56</v>
      </c>
      <c r="F929" t="s">
        <v>21</v>
      </c>
      <c r="G929" t="s">
        <v>28</v>
      </c>
      <c r="H929">
        <v>3</v>
      </c>
      <c r="I929" s="12">
        <v>303.5</v>
      </c>
      <c r="J929" s="12">
        <v>0.15</v>
      </c>
      <c r="K929" s="9">
        <v>773.93</v>
      </c>
      <c r="L929" s="9">
        <v>76.92</v>
      </c>
      <c r="M929" s="9">
        <f t="shared" si="14"/>
        <v>136.57499999999999</v>
      </c>
    </row>
    <row r="930" spans="1:13" x14ac:dyDescent="0.3">
      <c r="A930" t="s">
        <v>1253</v>
      </c>
      <c r="B930" s="1">
        <v>45934</v>
      </c>
      <c r="C930" t="s">
        <v>209</v>
      </c>
      <c r="D930" t="s">
        <v>25</v>
      </c>
      <c r="E930" t="s">
        <v>56</v>
      </c>
      <c r="F930" t="s">
        <v>21</v>
      </c>
      <c r="G930" t="s">
        <v>22</v>
      </c>
      <c r="H930">
        <v>2</v>
      </c>
      <c r="I930" s="12">
        <v>320.81</v>
      </c>
      <c r="J930" s="12">
        <v>0</v>
      </c>
      <c r="K930" s="9">
        <v>641.62</v>
      </c>
      <c r="L930" s="9">
        <v>167.58</v>
      </c>
      <c r="M930" s="9">
        <f t="shared" si="14"/>
        <v>0</v>
      </c>
    </row>
    <row r="931" spans="1:13" x14ac:dyDescent="0.3">
      <c r="A931" t="s">
        <v>1254</v>
      </c>
      <c r="B931" s="1">
        <v>45934</v>
      </c>
      <c r="C931" t="s">
        <v>416</v>
      </c>
      <c r="D931" t="s">
        <v>40</v>
      </c>
      <c r="E931" t="s">
        <v>15</v>
      </c>
      <c r="F931" t="s">
        <v>16</v>
      </c>
      <c r="G931" t="s">
        <v>32</v>
      </c>
      <c r="H931">
        <v>4</v>
      </c>
      <c r="I931" s="12">
        <v>14.65</v>
      </c>
      <c r="J931" s="12">
        <v>0</v>
      </c>
      <c r="K931" s="9">
        <v>58.61</v>
      </c>
      <c r="L931" s="9">
        <v>12.41</v>
      </c>
      <c r="M931" s="9">
        <f t="shared" si="14"/>
        <v>0</v>
      </c>
    </row>
    <row r="932" spans="1:13" x14ac:dyDescent="0.3">
      <c r="A932" t="s">
        <v>1255</v>
      </c>
      <c r="B932" s="1">
        <v>45934</v>
      </c>
      <c r="C932" t="s">
        <v>1256</v>
      </c>
      <c r="D932" t="s">
        <v>14</v>
      </c>
      <c r="E932" t="s">
        <v>41</v>
      </c>
      <c r="F932" t="s">
        <v>42</v>
      </c>
      <c r="G932" t="s">
        <v>17</v>
      </c>
      <c r="H932">
        <v>1</v>
      </c>
      <c r="I932" s="12">
        <v>49.97</v>
      </c>
      <c r="J932" s="12">
        <v>0</v>
      </c>
      <c r="K932" s="9">
        <v>49.97</v>
      </c>
      <c r="L932" s="9">
        <v>12.69</v>
      </c>
      <c r="M932" s="9">
        <f t="shared" si="14"/>
        <v>0</v>
      </c>
    </row>
    <row r="933" spans="1:13" x14ac:dyDescent="0.3">
      <c r="A933" t="s">
        <v>1257</v>
      </c>
      <c r="B933" s="1">
        <v>45934</v>
      </c>
      <c r="C933" t="s">
        <v>234</v>
      </c>
      <c r="D933" t="s">
        <v>40</v>
      </c>
      <c r="E933" t="s">
        <v>41</v>
      </c>
      <c r="F933" t="s">
        <v>42</v>
      </c>
      <c r="G933" t="s">
        <v>17</v>
      </c>
      <c r="H933">
        <v>3</v>
      </c>
      <c r="I933" s="12">
        <v>52.53</v>
      </c>
      <c r="J933" s="12">
        <v>0.1</v>
      </c>
      <c r="K933" s="9">
        <v>141.83000000000001</v>
      </c>
      <c r="L933" s="9">
        <v>12.3</v>
      </c>
      <c r="M933" s="9">
        <f t="shared" si="14"/>
        <v>15.759</v>
      </c>
    </row>
    <row r="934" spans="1:13" x14ac:dyDescent="0.3">
      <c r="A934" t="s">
        <v>1258</v>
      </c>
      <c r="B934" s="1">
        <v>45935</v>
      </c>
      <c r="C934" t="s">
        <v>120</v>
      </c>
      <c r="D934" t="s">
        <v>14</v>
      </c>
      <c r="E934" t="s">
        <v>54</v>
      </c>
      <c r="F934" t="s">
        <v>27</v>
      </c>
      <c r="G934" t="s">
        <v>22</v>
      </c>
      <c r="H934">
        <v>2</v>
      </c>
      <c r="I934" s="12">
        <v>28.35</v>
      </c>
      <c r="J934" s="12">
        <v>0.1</v>
      </c>
      <c r="K934" s="9">
        <v>51.04</v>
      </c>
      <c r="L934" s="9">
        <v>7.43</v>
      </c>
      <c r="M934" s="9">
        <f t="shared" si="14"/>
        <v>5.6700000000000008</v>
      </c>
    </row>
    <row r="935" spans="1:13" x14ac:dyDescent="0.3">
      <c r="A935" t="s">
        <v>1259</v>
      </c>
      <c r="B935" s="1">
        <v>45935</v>
      </c>
      <c r="C935" t="s">
        <v>78</v>
      </c>
      <c r="D935" t="s">
        <v>14</v>
      </c>
      <c r="E935" t="s">
        <v>37</v>
      </c>
      <c r="F935" t="s">
        <v>27</v>
      </c>
      <c r="G935" t="s">
        <v>32</v>
      </c>
      <c r="H935">
        <v>1</v>
      </c>
      <c r="I935" s="12">
        <v>216.12</v>
      </c>
      <c r="J935" s="12">
        <v>0.15</v>
      </c>
      <c r="K935" s="9">
        <v>183.71</v>
      </c>
      <c r="L935" s="9">
        <v>17.7</v>
      </c>
      <c r="M935" s="9">
        <f t="shared" si="14"/>
        <v>32.417999999999999</v>
      </c>
    </row>
    <row r="936" spans="1:13" x14ac:dyDescent="0.3">
      <c r="A936" t="s">
        <v>1260</v>
      </c>
      <c r="B936" s="1">
        <v>45936</v>
      </c>
      <c r="C936" t="s">
        <v>990</v>
      </c>
      <c r="D936" t="s">
        <v>14</v>
      </c>
      <c r="E936" t="s">
        <v>15</v>
      </c>
      <c r="F936" t="s">
        <v>16</v>
      </c>
      <c r="G936" t="s">
        <v>32</v>
      </c>
      <c r="H936">
        <v>4</v>
      </c>
      <c r="I936" s="12">
        <v>13.91</v>
      </c>
      <c r="J936" s="12">
        <v>0.05</v>
      </c>
      <c r="K936" s="9">
        <v>52.84</v>
      </c>
      <c r="L936" s="9">
        <v>11.81</v>
      </c>
      <c r="M936" s="9">
        <f t="shared" si="14"/>
        <v>2.782</v>
      </c>
    </row>
    <row r="937" spans="1:13" x14ac:dyDescent="0.3">
      <c r="A937" t="s">
        <v>1261</v>
      </c>
      <c r="B937" s="1">
        <v>45936</v>
      </c>
      <c r="C937" t="s">
        <v>324</v>
      </c>
      <c r="D937" t="s">
        <v>14</v>
      </c>
      <c r="E937" t="s">
        <v>31</v>
      </c>
      <c r="F937" t="s">
        <v>21</v>
      </c>
      <c r="G937" t="s">
        <v>32</v>
      </c>
      <c r="H937">
        <v>3</v>
      </c>
      <c r="I937" s="12">
        <v>41.43</v>
      </c>
      <c r="J937" s="12">
        <v>0.05</v>
      </c>
      <c r="K937" s="9">
        <v>118.08</v>
      </c>
      <c r="L937" s="9">
        <v>9.07</v>
      </c>
      <c r="M937" s="9">
        <f t="shared" si="14"/>
        <v>6.2145000000000001</v>
      </c>
    </row>
    <row r="938" spans="1:13" x14ac:dyDescent="0.3">
      <c r="A938" t="s">
        <v>1262</v>
      </c>
      <c r="B938" s="1">
        <v>45937</v>
      </c>
      <c r="C938" t="s">
        <v>494</v>
      </c>
      <c r="D938" t="s">
        <v>40</v>
      </c>
      <c r="E938" t="s">
        <v>51</v>
      </c>
      <c r="F938" t="s">
        <v>27</v>
      </c>
      <c r="G938" t="s">
        <v>22</v>
      </c>
      <c r="H938">
        <v>5</v>
      </c>
      <c r="I938" s="12">
        <v>913.08</v>
      </c>
      <c r="J938" s="12">
        <v>0</v>
      </c>
      <c r="K938" s="9">
        <v>4565.41</v>
      </c>
      <c r="L938" s="9">
        <v>539.54999999999995</v>
      </c>
      <c r="M938" s="9">
        <f t="shared" si="14"/>
        <v>0</v>
      </c>
    </row>
    <row r="939" spans="1:13" x14ac:dyDescent="0.3">
      <c r="A939" t="s">
        <v>1263</v>
      </c>
      <c r="B939" s="1">
        <v>45937</v>
      </c>
      <c r="C939" t="s">
        <v>684</v>
      </c>
      <c r="D939" t="s">
        <v>14</v>
      </c>
      <c r="E939" t="s">
        <v>41</v>
      </c>
      <c r="F939" t="s">
        <v>42</v>
      </c>
      <c r="G939" t="s">
        <v>22</v>
      </c>
      <c r="H939">
        <v>2</v>
      </c>
      <c r="I939" s="12">
        <v>51.74</v>
      </c>
      <c r="J939" s="12">
        <v>0</v>
      </c>
      <c r="K939" s="9">
        <v>103.48</v>
      </c>
      <c r="L939" s="9">
        <v>10.17</v>
      </c>
      <c r="M939" s="9">
        <f t="shared" si="14"/>
        <v>0</v>
      </c>
    </row>
    <row r="940" spans="1:13" x14ac:dyDescent="0.3">
      <c r="A940" t="s">
        <v>1264</v>
      </c>
      <c r="B940" s="1">
        <v>45937</v>
      </c>
      <c r="C940" t="s">
        <v>168</v>
      </c>
      <c r="D940" t="s">
        <v>14</v>
      </c>
      <c r="E940" t="s">
        <v>110</v>
      </c>
      <c r="F940" t="s">
        <v>42</v>
      </c>
      <c r="G940" t="s">
        <v>28</v>
      </c>
      <c r="H940">
        <v>3</v>
      </c>
      <c r="I940" s="12">
        <v>22.68</v>
      </c>
      <c r="J940" s="12">
        <v>0.1</v>
      </c>
      <c r="K940" s="9">
        <v>61.24</v>
      </c>
      <c r="L940" s="9">
        <v>5.03</v>
      </c>
      <c r="M940" s="9">
        <f t="shared" si="14"/>
        <v>6.8039999999999994</v>
      </c>
    </row>
    <row r="941" spans="1:13" x14ac:dyDescent="0.3">
      <c r="A941" t="s">
        <v>1265</v>
      </c>
      <c r="B941" s="1">
        <v>45937</v>
      </c>
      <c r="C941" t="s">
        <v>295</v>
      </c>
      <c r="D941" t="s">
        <v>40</v>
      </c>
      <c r="E941" t="s">
        <v>54</v>
      </c>
      <c r="F941" t="s">
        <v>27</v>
      </c>
      <c r="G941" t="s">
        <v>32</v>
      </c>
      <c r="H941">
        <v>4</v>
      </c>
      <c r="I941" s="12">
        <v>28.26</v>
      </c>
      <c r="J941" s="12">
        <v>0.1</v>
      </c>
      <c r="K941" s="9">
        <v>101.74</v>
      </c>
      <c r="L941" s="9">
        <v>11.17</v>
      </c>
      <c r="M941" s="9">
        <f t="shared" si="14"/>
        <v>11.304000000000002</v>
      </c>
    </row>
    <row r="942" spans="1:13" x14ac:dyDescent="0.3">
      <c r="A942" t="s">
        <v>1266</v>
      </c>
      <c r="B942" s="1">
        <v>45938</v>
      </c>
      <c r="C942" t="s">
        <v>152</v>
      </c>
      <c r="D942" t="s">
        <v>40</v>
      </c>
      <c r="E942" t="s">
        <v>41</v>
      </c>
      <c r="F942" t="s">
        <v>42</v>
      </c>
      <c r="G942" t="s">
        <v>32</v>
      </c>
      <c r="H942">
        <v>2</v>
      </c>
      <c r="I942" s="12">
        <v>57.47</v>
      </c>
      <c r="J942" s="12">
        <v>0.1</v>
      </c>
      <c r="K942" s="9">
        <v>103.44</v>
      </c>
      <c r="L942" s="9">
        <v>20.48</v>
      </c>
      <c r="M942" s="9">
        <f t="shared" si="14"/>
        <v>11.494</v>
      </c>
    </row>
    <row r="943" spans="1:13" x14ac:dyDescent="0.3">
      <c r="A943" t="s">
        <v>1267</v>
      </c>
      <c r="B943" s="1">
        <v>45939</v>
      </c>
      <c r="C943" t="s">
        <v>565</v>
      </c>
      <c r="D943" t="s">
        <v>25</v>
      </c>
      <c r="E943" t="s">
        <v>51</v>
      </c>
      <c r="F943" t="s">
        <v>27</v>
      </c>
      <c r="G943" t="s">
        <v>28</v>
      </c>
      <c r="H943">
        <v>4</v>
      </c>
      <c r="I943" s="12">
        <v>1026.75</v>
      </c>
      <c r="J943" s="12">
        <v>0</v>
      </c>
      <c r="K943" s="9">
        <v>4107</v>
      </c>
      <c r="L943" s="9">
        <v>591.95000000000005</v>
      </c>
      <c r="M943" s="9">
        <f t="shared" si="14"/>
        <v>0</v>
      </c>
    </row>
    <row r="944" spans="1:13" x14ac:dyDescent="0.3">
      <c r="A944" t="s">
        <v>1268</v>
      </c>
      <c r="B944" s="1">
        <v>45939</v>
      </c>
      <c r="C944" t="s">
        <v>827</v>
      </c>
      <c r="D944" t="s">
        <v>14</v>
      </c>
      <c r="E944" t="s">
        <v>65</v>
      </c>
      <c r="F944" t="s">
        <v>16</v>
      </c>
      <c r="G944" t="s">
        <v>22</v>
      </c>
      <c r="H944">
        <v>2</v>
      </c>
      <c r="I944" s="12">
        <v>17.66</v>
      </c>
      <c r="J944" s="12">
        <v>0.1</v>
      </c>
      <c r="K944" s="9">
        <v>31.79</v>
      </c>
      <c r="L944" s="9">
        <v>7.35</v>
      </c>
      <c r="M944" s="9">
        <f t="shared" si="14"/>
        <v>3.532</v>
      </c>
    </row>
    <row r="945" spans="1:13" x14ac:dyDescent="0.3">
      <c r="A945" t="s">
        <v>1269</v>
      </c>
      <c r="B945" s="1">
        <v>45939</v>
      </c>
      <c r="C945" t="s">
        <v>1109</v>
      </c>
      <c r="D945" t="s">
        <v>40</v>
      </c>
      <c r="E945" t="s">
        <v>92</v>
      </c>
      <c r="F945" t="s">
        <v>16</v>
      </c>
      <c r="G945" t="s">
        <v>17</v>
      </c>
      <c r="H945">
        <v>2</v>
      </c>
      <c r="I945" s="12">
        <v>8.6199999999999992</v>
      </c>
      <c r="J945" s="12">
        <v>0</v>
      </c>
      <c r="K945" s="9">
        <v>17.25</v>
      </c>
      <c r="L945" s="9">
        <v>4.7699999999999996</v>
      </c>
      <c r="M945" s="9">
        <f t="shared" si="14"/>
        <v>0</v>
      </c>
    </row>
    <row r="946" spans="1:13" x14ac:dyDescent="0.3">
      <c r="A946" t="s">
        <v>1270</v>
      </c>
      <c r="B946" s="1">
        <v>45940</v>
      </c>
      <c r="C946" t="s">
        <v>1013</v>
      </c>
      <c r="D946" t="s">
        <v>40</v>
      </c>
      <c r="E946" t="s">
        <v>37</v>
      </c>
      <c r="F946" t="s">
        <v>27</v>
      </c>
      <c r="G946" t="s">
        <v>22</v>
      </c>
      <c r="H946">
        <v>1</v>
      </c>
      <c r="I946" s="12">
        <v>192.46</v>
      </c>
      <c r="J946" s="12">
        <v>0.05</v>
      </c>
      <c r="K946" s="9">
        <v>182.84</v>
      </c>
      <c r="L946" s="9">
        <v>35.29</v>
      </c>
      <c r="M946" s="9">
        <f t="shared" si="14"/>
        <v>9.6230000000000011</v>
      </c>
    </row>
    <row r="947" spans="1:13" x14ac:dyDescent="0.3">
      <c r="A947" t="s">
        <v>1271</v>
      </c>
      <c r="B947" s="1">
        <v>45940</v>
      </c>
      <c r="C947" t="s">
        <v>440</v>
      </c>
      <c r="D947" t="s">
        <v>14</v>
      </c>
      <c r="E947" t="s">
        <v>54</v>
      </c>
      <c r="F947" t="s">
        <v>27</v>
      </c>
      <c r="G947" t="s">
        <v>32</v>
      </c>
      <c r="H947">
        <v>1</v>
      </c>
      <c r="I947" s="12">
        <v>25.21</v>
      </c>
      <c r="J947" s="12">
        <v>0.2</v>
      </c>
      <c r="K947" s="9">
        <v>20.170000000000002</v>
      </c>
      <c r="L947" s="9">
        <v>3.5</v>
      </c>
      <c r="M947" s="9">
        <f t="shared" si="14"/>
        <v>5.0420000000000007</v>
      </c>
    </row>
    <row r="948" spans="1:13" x14ac:dyDescent="0.3">
      <c r="A948" t="s">
        <v>1272</v>
      </c>
      <c r="B948" s="1">
        <v>45940</v>
      </c>
      <c r="C948" t="s">
        <v>306</v>
      </c>
      <c r="D948" t="s">
        <v>40</v>
      </c>
      <c r="E948" t="s">
        <v>65</v>
      </c>
      <c r="F948" t="s">
        <v>16</v>
      </c>
      <c r="G948" t="s">
        <v>17</v>
      </c>
      <c r="H948">
        <v>1</v>
      </c>
      <c r="I948" s="12">
        <v>16.63</v>
      </c>
      <c r="J948" s="12">
        <v>0.05</v>
      </c>
      <c r="K948" s="9">
        <v>15.8</v>
      </c>
      <c r="L948" s="9">
        <v>1.25</v>
      </c>
      <c r="M948" s="9">
        <f t="shared" si="14"/>
        <v>0.83150000000000002</v>
      </c>
    </row>
    <row r="949" spans="1:13" x14ac:dyDescent="0.3">
      <c r="A949" t="s">
        <v>1273</v>
      </c>
      <c r="B949" s="1">
        <v>45941</v>
      </c>
      <c r="C949" t="s">
        <v>959</v>
      </c>
      <c r="D949" t="s">
        <v>14</v>
      </c>
      <c r="E949" t="s">
        <v>41</v>
      </c>
      <c r="F949" t="s">
        <v>42</v>
      </c>
      <c r="G949" t="s">
        <v>32</v>
      </c>
      <c r="H949">
        <v>4</v>
      </c>
      <c r="I949" s="12">
        <v>50.84</v>
      </c>
      <c r="J949" s="12">
        <v>0</v>
      </c>
      <c r="K949" s="9">
        <v>203.37</v>
      </c>
      <c r="L949" s="9">
        <v>30.76</v>
      </c>
      <c r="M949" s="9">
        <f t="shared" si="14"/>
        <v>0</v>
      </c>
    </row>
    <row r="950" spans="1:13" x14ac:dyDescent="0.3">
      <c r="A950" t="s">
        <v>1274</v>
      </c>
      <c r="B950" s="1">
        <v>45941</v>
      </c>
      <c r="C950" t="s">
        <v>955</v>
      </c>
      <c r="D950" t="s">
        <v>40</v>
      </c>
      <c r="E950" t="s">
        <v>65</v>
      </c>
      <c r="F950" t="s">
        <v>16</v>
      </c>
      <c r="G950" t="s">
        <v>17</v>
      </c>
      <c r="H950">
        <v>3</v>
      </c>
      <c r="I950" s="12">
        <v>19.649999999999999</v>
      </c>
      <c r="J950" s="12">
        <v>0.1</v>
      </c>
      <c r="K950" s="9">
        <v>53.05</v>
      </c>
      <c r="L950" s="9">
        <v>11.74</v>
      </c>
      <c r="M950" s="9">
        <f t="shared" si="14"/>
        <v>5.8949999999999996</v>
      </c>
    </row>
    <row r="951" spans="1:13" x14ac:dyDescent="0.3">
      <c r="A951" t="s">
        <v>1275</v>
      </c>
      <c r="B951" s="1">
        <v>45941</v>
      </c>
      <c r="C951" t="s">
        <v>1105</v>
      </c>
      <c r="D951" t="s">
        <v>40</v>
      </c>
      <c r="E951" t="s">
        <v>51</v>
      </c>
      <c r="F951" t="s">
        <v>27</v>
      </c>
      <c r="G951" t="s">
        <v>32</v>
      </c>
      <c r="H951">
        <v>1</v>
      </c>
      <c r="I951" s="12">
        <v>1036.94</v>
      </c>
      <c r="J951" s="12">
        <v>0.05</v>
      </c>
      <c r="K951" s="9">
        <v>985.09</v>
      </c>
      <c r="L951" s="9">
        <v>143.83000000000001</v>
      </c>
      <c r="M951" s="9">
        <f t="shared" si="14"/>
        <v>51.847000000000008</v>
      </c>
    </row>
    <row r="952" spans="1:13" x14ac:dyDescent="0.3">
      <c r="A952" t="s">
        <v>1276</v>
      </c>
      <c r="B952" s="1">
        <v>45941</v>
      </c>
      <c r="C952" t="s">
        <v>200</v>
      </c>
      <c r="D952" t="s">
        <v>14</v>
      </c>
      <c r="E952" t="s">
        <v>20</v>
      </c>
      <c r="F952" t="s">
        <v>21</v>
      </c>
      <c r="G952" t="s">
        <v>22</v>
      </c>
      <c r="H952">
        <v>3</v>
      </c>
      <c r="I952" s="12">
        <v>173.03</v>
      </c>
      <c r="J952" s="12">
        <v>0</v>
      </c>
      <c r="K952" s="9">
        <v>519.08000000000004</v>
      </c>
      <c r="L952" s="9">
        <v>123.44</v>
      </c>
      <c r="M952" s="9">
        <f t="shared" si="14"/>
        <v>0</v>
      </c>
    </row>
    <row r="953" spans="1:13" x14ac:dyDescent="0.3">
      <c r="A953" t="s">
        <v>1277</v>
      </c>
      <c r="B953" s="1">
        <v>45942</v>
      </c>
      <c r="C953" t="s">
        <v>834</v>
      </c>
      <c r="D953" t="s">
        <v>14</v>
      </c>
      <c r="E953" t="s">
        <v>56</v>
      </c>
      <c r="F953" t="s">
        <v>21</v>
      </c>
      <c r="G953" t="s">
        <v>32</v>
      </c>
      <c r="H953">
        <v>2</v>
      </c>
      <c r="I953" s="12">
        <v>325.04000000000002</v>
      </c>
      <c r="J953" s="12">
        <v>0</v>
      </c>
      <c r="K953" s="9">
        <v>650.07000000000005</v>
      </c>
      <c r="L953" s="9">
        <v>96.44</v>
      </c>
      <c r="M953" s="9">
        <f t="shared" si="14"/>
        <v>0</v>
      </c>
    </row>
    <row r="954" spans="1:13" x14ac:dyDescent="0.3">
      <c r="A954" t="s">
        <v>1278</v>
      </c>
      <c r="B954" s="1">
        <v>45942</v>
      </c>
      <c r="C954" t="s">
        <v>1111</v>
      </c>
      <c r="D954" t="s">
        <v>14</v>
      </c>
      <c r="E954" t="s">
        <v>56</v>
      </c>
      <c r="F954" t="s">
        <v>21</v>
      </c>
      <c r="G954" t="s">
        <v>17</v>
      </c>
      <c r="H954">
        <v>1</v>
      </c>
      <c r="I954" s="12">
        <v>328.62</v>
      </c>
      <c r="J954" s="12">
        <v>0.05</v>
      </c>
      <c r="K954" s="9">
        <v>312.19</v>
      </c>
      <c r="L954" s="9">
        <v>27.73</v>
      </c>
      <c r="M954" s="9">
        <f t="shared" si="14"/>
        <v>16.431000000000001</v>
      </c>
    </row>
    <row r="955" spans="1:13" x14ac:dyDescent="0.3">
      <c r="A955" t="s">
        <v>1279</v>
      </c>
      <c r="B955" s="1">
        <v>45942</v>
      </c>
      <c r="C955" t="s">
        <v>87</v>
      </c>
      <c r="D955" t="s">
        <v>25</v>
      </c>
      <c r="E955" t="s">
        <v>20</v>
      </c>
      <c r="F955" t="s">
        <v>21</v>
      </c>
      <c r="G955" t="s">
        <v>32</v>
      </c>
      <c r="H955">
        <v>2</v>
      </c>
      <c r="I955" s="12">
        <v>179.9</v>
      </c>
      <c r="J955" s="12">
        <v>0.05</v>
      </c>
      <c r="K955" s="9">
        <v>341.81</v>
      </c>
      <c r="L955" s="9">
        <v>70.37</v>
      </c>
      <c r="M955" s="9">
        <f t="shared" si="14"/>
        <v>17.990000000000002</v>
      </c>
    </row>
    <row r="956" spans="1:13" x14ac:dyDescent="0.3">
      <c r="A956" t="s">
        <v>1280</v>
      </c>
      <c r="B956" s="1">
        <v>45942</v>
      </c>
      <c r="C956" t="s">
        <v>122</v>
      </c>
      <c r="D956" t="s">
        <v>25</v>
      </c>
      <c r="E956" t="s">
        <v>41</v>
      </c>
      <c r="F956" t="s">
        <v>42</v>
      </c>
      <c r="G956" t="s">
        <v>22</v>
      </c>
      <c r="H956">
        <v>2</v>
      </c>
      <c r="I956" s="12">
        <v>58.58</v>
      </c>
      <c r="J956" s="12">
        <v>0</v>
      </c>
      <c r="K956" s="9">
        <v>117.15</v>
      </c>
      <c r="L956" s="9">
        <v>17.88</v>
      </c>
      <c r="M956" s="9">
        <f t="shared" si="14"/>
        <v>0</v>
      </c>
    </row>
    <row r="957" spans="1:13" x14ac:dyDescent="0.3">
      <c r="A957" t="s">
        <v>1281</v>
      </c>
      <c r="B957" s="1">
        <v>45942</v>
      </c>
      <c r="C957" t="s">
        <v>114</v>
      </c>
      <c r="D957" t="s">
        <v>14</v>
      </c>
      <c r="E957" t="s">
        <v>41</v>
      </c>
      <c r="F957" t="s">
        <v>42</v>
      </c>
      <c r="G957" t="s">
        <v>22</v>
      </c>
      <c r="H957">
        <v>3</v>
      </c>
      <c r="I957" s="12">
        <v>49.74</v>
      </c>
      <c r="J957" s="12">
        <v>0</v>
      </c>
      <c r="K957" s="9">
        <v>149.22999999999999</v>
      </c>
      <c r="L957" s="9">
        <v>21.6</v>
      </c>
      <c r="M957" s="9">
        <f t="shared" si="14"/>
        <v>0</v>
      </c>
    </row>
    <row r="958" spans="1:13" x14ac:dyDescent="0.3">
      <c r="A958" t="s">
        <v>1282</v>
      </c>
      <c r="B958" s="1">
        <v>45943</v>
      </c>
      <c r="C958" t="s">
        <v>929</v>
      </c>
      <c r="D958" t="s">
        <v>25</v>
      </c>
      <c r="E958" t="s">
        <v>92</v>
      </c>
      <c r="F958" t="s">
        <v>16</v>
      </c>
      <c r="G958" t="s">
        <v>28</v>
      </c>
      <c r="H958">
        <v>1</v>
      </c>
      <c r="I958" s="12">
        <v>8.26</v>
      </c>
      <c r="J958" s="12">
        <v>0.2</v>
      </c>
      <c r="K958" s="9">
        <v>6.61</v>
      </c>
      <c r="L958" s="9">
        <v>0.32</v>
      </c>
      <c r="M958" s="9">
        <f t="shared" si="14"/>
        <v>1.6520000000000001</v>
      </c>
    </row>
    <row r="959" spans="1:13" x14ac:dyDescent="0.3">
      <c r="A959" t="s">
        <v>1283</v>
      </c>
      <c r="B959" s="1">
        <v>45943</v>
      </c>
      <c r="C959" t="s">
        <v>818</v>
      </c>
      <c r="D959" t="s">
        <v>40</v>
      </c>
      <c r="E959" t="s">
        <v>54</v>
      </c>
      <c r="F959" t="s">
        <v>27</v>
      </c>
      <c r="G959" t="s">
        <v>32</v>
      </c>
      <c r="H959">
        <v>1</v>
      </c>
      <c r="I959" s="12">
        <v>29.6</v>
      </c>
      <c r="J959" s="12">
        <v>0.05</v>
      </c>
      <c r="K959" s="9">
        <v>28.12</v>
      </c>
      <c r="L959" s="9">
        <v>6.82</v>
      </c>
      <c r="M959" s="9">
        <f t="shared" si="14"/>
        <v>1.4800000000000002</v>
      </c>
    </row>
    <row r="960" spans="1:13" x14ac:dyDescent="0.3">
      <c r="A960" t="s">
        <v>1284</v>
      </c>
      <c r="B960" s="1">
        <v>45943</v>
      </c>
      <c r="C960" t="s">
        <v>1146</v>
      </c>
      <c r="D960" t="s">
        <v>14</v>
      </c>
      <c r="E960" t="s">
        <v>54</v>
      </c>
      <c r="F960" t="s">
        <v>27</v>
      </c>
      <c r="G960" t="s">
        <v>32</v>
      </c>
      <c r="H960">
        <v>4</v>
      </c>
      <c r="I960" s="12">
        <v>29.57</v>
      </c>
      <c r="J960" s="12">
        <v>0.2</v>
      </c>
      <c r="K960" s="9">
        <v>94.63</v>
      </c>
      <c r="L960" s="9">
        <v>9.02</v>
      </c>
      <c r="M960" s="9">
        <f t="shared" si="14"/>
        <v>23.656000000000002</v>
      </c>
    </row>
    <row r="961" spans="1:13" x14ac:dyDescent="0.3">
      <c r="A961" t="s">
        <v>1285</v>
      </c>
      <c r="B961" s="1">
        <v>45944</v>
      </c>
      <c r="C961" t="s">
        <v>649</v>
      </c>
      <c r="D961" t="s">
        <v>40</v>
      </c>
      <c r="E961" t="s">
        <v>51</v>
      </c>
      <c r="F961" t="s">
        <v>27</v>
      </c>
      <c r="G961" t="s">
        <v>28</v>
      </c>
      <c r="H961">
        <v>1</v>
      </c>
      <c r="I961" s="12">
        <v>909.09</v>
      </c>
      <c r="J961" s="12">
        <v>0</v>
      </c>
      <c r="K961" s="9">
        <v>909.09</v>
      </c>
      <c r="L961" s="9">
        <v>141.09</v>
      </c>
      <c r="M961" s="9">
        <f t="shared" si="14"/>
        <v>0</v>
      </c>
    </row>
    <row r="962" spans="1:13" x14ac:dyDescent="0.3">
      <c r="A962" t="s">
        <v>1286</v>
      </c>
      <c r="B962" s="1">
        <v>45944</v>
      </c>
      <c r="C962" t="s">
        <v>578</v>
      </c>
      <c r="D962" t="s">
        <v>40</v>
      </c>
      <c r="E962" t="s">
        <v>31</v>
      </c>
      <c r="F962" t="s">
        <v>21</v>
      </c>
      <c r="G962" t="s">
        <v>22</v>
      </c>
      <c r="H962">
        <v>2</v>
      </c>
      <c r="I962" s="12">
        <v>42.6</v>
      </c>
      <c r="J962" s="12">
        <v>0.05</v>
      </c>
      <c r="K962" s="9">
        <v>80.94</v>
      </c>
      <c r="L962" s="9">
        <v>6.24</v>
      </c>
      <c r="M962" s="9">
        <f t="shared" si="14"/>
        <v>4.2600000000000007</v>
      </c>
    </row>
    <row r="963" spans="1:13" x14ac:dyDescent="0.3">
      <c r="A963" t="s">
        <v>1287</v>
      </c>
      <c r="B963" s="1">
        <v>45945</v>
      </c>
      <c r="C963" t="s">
        <v>264</v>
      </c>
      <c r="D963" t="s">
        <v>14</v>
      </c>
      <c r="E963" t="s">
        <v>41</v>
      </c>
      <c r="F963" t="s">
        <v>42</v>
      </c>
      <c r="G963" t="s">
        <v>28</v>
      </c>
      <c r="H963">
        <v>2</v>
      </c>
      <c r="I963" s="12">
        <v>59.34</v>
      </c>
      <c r="J963" s="12">
        <v>0</v>
      </c>
      <c r="K963" s="9">
        <v>118.67</v>
      </c>
      <c r="L963" s="9">
        <v>24.8</v>
      </c>
      <c r="M963" s="9">
        <f t="shared" ref="M963:M1026" si="15">H963*I963*J963</f>
        <v>0</v>
      </c>
    </row>
    <row r="964" spans="1:13" x14ac:dyDescent="0.3">
      <c r="A964" t="s">
        <v>1288</v>
      </c>
      <c r="B964" s="1">
        <v>45945</v>
      </c>
      <c r="C964" t="s">
        <v>875</v>
      </c>
      <c r="D964" t="s">
        <v>40</v>
      </c>
      <c r="E964" t="s">
        <v>51</v>
      </c>
      <c r="F964" t="s">
        <v>27</v>
      </c>
      <c r="G964" t="s">
        <v>22</v>
      </c>
      <c r="H964">
        <v>1</v>
      </c>
      <c r="I964" s="12">
        <v>877.35</v>
      </c>
      <c r="J964" s="12">
        <v>0</v>
      </c>
      <c r="K964" s="9">
        <v>877.35</v>
      </c>
      <c r="L964" s="9">
        <v>110.08</v>
      </c>
      <c r="M964" s="9">
        <f t="shared" si="15"/>
        <v>0</v>
      </c>
    </row>
    <row r="965" spans="1:13" x14ac:dyDescent="0.3">
      <c r="A965" t="s">
        <v>1289</v>
      </c>
      <c r="B965" s="1">
        <v>45945</v>
      </c>
      <c r="C965" t="s">
        <v>578</v>
      </c>
      <c r="D965" t="s">
        <v>14</v>
      </c>
      <c r="E965" t="s">
        <v>56</v>
      </c>
      <c r="F965" t="s">
        <v>21</v>
      </c>
      <c r="G965" t="s">
        <v>28</v>
      </c>
      <c r="H965">
        <v>1</v>
      </c>
      <c r="I965" s="12">
        <v>303.11</v>
      </c>
      <c r="J965" s="12">
        <v>0.05</v>
      </c>
      <c r="K965" s="9">
        <v>287.95999999999998</v>
      </c>
      <c r="L965" s="9">
        <v>62</v>
      </c>
      <c r="M965" s="9">
        <f t="shared" si="15"/>
        <v>15.155500000000002</v>
      </c>
    </row>
    <row r="966" spans="1:13" x14ac:dyDescent="0.3">
      <c r="A966" t="s">
        <v>1290</v>
      </c>
      <c r="B966" s="1">
        <v>45945</v>
      </c>
      <c r="C966" t="s">
        <v>511</v>
      </c>
      <c r="D966" t="s">
        <v>14</v>
      </c>
      <c r="E966" t="s">
        <v>56</v>
      </c>
      <c r="F966" t="s">
        <v>21</v>
      </c>
      <c r="G966" t="s">
        <v>17</v>
      </c>
      <c r="H966">
        <v>3</v>
      </c>
      <c r="I966" s="12">
        <v>343.78</v>
      </c>
      <c r="J966" s="12">
        <v>0.05</v>
      </c>
      <c r="K966" s="9">
        <v>979.77</v>
      </c>
      <c r="L966" s="9">
        <v>117.43</v>
      </c>
      <c r="M966" s="9">
        <f t="shared" si="15"/>
        <v>51.567</v>
      </c>
    </row>
    <row r="967" spans="1:13" x14ac:dyDescent="0.3">
      <c r="A967" t="s">
        <v>1291</v>
      </c>
      <c r="B967" s="1">
        <v>45945</v>
      </c>
      <c r="C967" t="s">
        <v>466</v>
      </c>
      <c r="D967" t="s">
        <v>14</v>
      </c>
      <c r="E967" t="s">
        <v>26</v>
      </c>
      <c r="F967" t="s">
        <v>27</v>
      </c>
      <c r="G967" t="s">
        <v>32</v>
      </c>
      <c r="H967">
        <v>2</v>
      </c>
      <c r="I967" s="12">
        <v>75.64</v>
      </c>
      <c r="J967" s="12">
        <v>0</v>
      </c>
      <c r="K967" s="9">
        <v>151.27000000000001</v>
      </c>
      <c r="L967" s="9">
        <v>27.03</v>
      </c>
      <c r="M967" s="9">
        <f t="shared" si="15"/>
        <v>0</v>
      </c>
    </row>
    <row r="968" spans="1:13" x14ac:dyDescent="0.3">
      <c r="A968" t="s">
        <v>1292</v>
      </c>
      <c r="B968" s="1">
        <v>45946</v>
      </c>
      <c r="C968" t="s">
        <v>855</v>
      </c>
      <c r="D968" t="s">
        <v>14</v>
      </c>
      <c r="E968" t="s">
        <v>31</v>
      </c>
      <c r="F968" t="s">
        <v>21</v>
      </c>
      <c r="G968" t="s">
        <v>17</v>
      </c>
      <c r="H968">
        <v>3</v>
      </c>
      <c r="I968" s="12">
        <v>43.96</v>
      </c>
      <c r="J968" s="12">
        <v>0</v>
      </c>
      <c r="K968" s="9">
        <v>131.88</v>
      </c>
      <c r="L968" s="9">
        <v>13.03</v>
      </c>
      <c r="M968" s="9">
        <f t="shared" si="15"/>
        <v>0</v>
      </c>
    </row>
    <row r="969" spans="1:13" x14ac:dyDescent="0.3">
      <c r="A969" t="s">
        <v>1293</v>
      </c>
      <c r="B969" s="1">
        <v>45946</v>
      </c>
      <c r="C969" t="s">
        <v>91</v>
      </c>
      <c r="D969" t="s">
        <v>14</v>
      </c>
      <c r="E969" t="s">
        <v>20</v>
      </c>
      <c r="F969" t="s">
        <v>21</v>
      </c>
      <c r="G969" t="s">
        <v>32</v>
      </c>
      <c r="H969">
        <v>1</v>
      </c>
      <c r="I969" s="12">
        <v>168.72</v>
      </c>
      <c r="J969" s="12">
        <v>0</v>
      </c>
      <c r="K969" s="9">
        <v>168.72</v>
      </c>
      <c r="L969" s="9">
        <v>23.12</v>
      </c>
      <c r="M969" s="9">
        <f t="shared" si="15"/>
        <v>0</v>
      </c>
    </row>
    <row r="970" spans="1:13" x14ac:dyDescent="0.3">
      <c r="A970" t="s">
        <v>1294</v>
      </c>
      <c r="B970" s="1">
        <v>45946</v>
      </c>
      <c r="C970" t="s">
        <v>578</v>
      </c>
      <c r="D970" t="s">
        <v>25</v>
      </c>
      <c r="E970" t="s">
        <v>110</v>
      </c>
      <c r="F970" t="s">
        <v>42</v>
      </c>
      <c r="G970" t="s">
        <v>28</v>
      </c>
      <c r="H970">
        <v>2</v>
      </c>
      <c r="I970" s="12">
        <v>23.77</v>
      </c>
      <c r="J970" s="12">
        <v>0.1</v>
      </c>
      <c r="K970" s="9">
        <v>42.79</v>
      </c>
      <c r="L970" s="9">
        <v>9.7899999999999991</v>
      </c>
      <c r="M970" s="9">
        <f t="shared" si="15"/>
        <v>4.7540000000000004</v>
      </c>
    </row>
    <row r="971" spans="1:13" x14ac:dyDescent="0.3">
      <c r="A971" t="s">
        <v>1295</v>
      </c>
      <c r="B971" s="1">
        <v>45947</v>
      </c>
      <c r="C971" t="s">
        <v>544</v>
      </c>
      <c r="D971" t="s">
        <v>40</v>
      </c>
      <c r="E971" t="s">
        <v>15</v>
      </c>
      <c r="F971" t="s">
        <v>16</v>
      </c>
      <c r="G971" t="s">
        <v>32</v>
      </c>
      <c r="H971">
        <v>1</v>
      </c>
      <c r="I971" s="12">
        <v>15.25</v>
      </c>
      <c r="J971" s="12">
        <v>0.1</v>
      </c>
      <c r="K971" s="9">
        <v>13.73</v>
      </c>
      <c r="L971" s="9">
        <v>1.72</v>
      </c>
      <c r="M971" s="9">
        <f t="shared" si="15"/>
        <v>1.5250000000000001</v>
      </c>
    </row>
    <row r="972" spans="1:13" x14ac:dyDescent="0.3">
      <c r="A972" t="s">
        <v>1296</v>
      </c>
      <c r="B972" s="1">
        <v>45947</v>
      </c>
      <c r="C972" t="s">
        <v>205</v>
      </c>
      <c r="D972" t="s">
        <v>40</v>
      </c>
      <c r="E972" t="s">
        <v>65</v>
      </c>
      <c r="F972" t="s">
        <v>16</v>
      </c>
      <c r="G972" t="s">
        <v>22</v>
      </c>
      <c r="H972">
        <v>2</v>
      </c>
      <c r="I972" s="12">
        <v>16.88</v>
      </c>
      <c r="J972" s="12">
        <v>0</v>
      </c>
      <c r="K972" s="9">
        <v>33.75</v>
      </c>
      <c r="L972" s="9">
        <v>2.77</v>
      </c>
      <c r="M972" s="9">
        <f t="shared" si="15"/>
        <v>0</v>
      </c>
    </row>
    <row r="973" spans="1:13" x14ac:dyDescent="0.3">
      <c r="A973" t="s">
        <v>1297</v>
      </c>
      <c r="B973" s="1">
        <v>45947</v>
      </c>
      <c r="C973" t="s">
        <v>887</v>
      </c>
      <c r="D973" t="s">
        <v>40</v>
      </c>
      <c r="E973" t="s">
        <v>110</v>
      </c>
      <c r="F973" t="s">
        <v>42</v>
      </c>
      <c r="G973" t="s">
        <v>28</v>
      </c>
      <c r="H973">
        <v>1</v>
      </c>
      <c r="I973" s="12">
        <v>22.08</v>
      </c>
      <c r="J973" s="12">
        <v>0</v>
      </c>
      <c r="K973" s="9">
        <v>22.08</v>
      </c>
      <c r="L973" s="9">
        <v>2.3199999999999998</v>
      </c>
      <c r="M973" s="9">
        <f t="shared" si="15"/>
        <v>0</v>
      </c>
    </row>
    <row r="974" spans="1:13" x14ac:dyDescent="0.3">
      <c r="A974" t="s">
        <v>1298</v>
      </c>
      <c r="B974" s="1">
        <v>45947</v>
      </c>
      <c r="C974" t="s">
        <v>523</v>
      </c>
      <c r="D974" t="s">
        <v>14</v>
      </c>
      <c r="E974" t="s">
        <v>37</v>
      </c>
      <c r="F974" t="s">
        <v>27</v>
      </c>
      <c r="G974" t="s">
        <v>17</v>
      </c>
      <c r="H974">
        <v>1</v>
      </c>
      <c r="I974" s="12">
        <v>211.64</v>
      </c>
      <c r="J974" s="12">
        <v>0.1</v>
      </c>
      <c r="K974" s="9">
        <v>190.48</v>
      </c>
      <c r="L974" s="9">
        <v>22.5</v>
      </c>
      <c r="M974" s="9">
        <f t="shared" si="15"/>
        <v>21.164000000000001</v>
      </c>
    </row>
    <row r="975" spans="1:13" x14ac:dyDescent="0.3">
      <c r="A975" t="s">
        <v>1299</v>
      </c>
      <c r="B975" s="1">
        <v>45947</v>
      </c>
      <c r="C975" t="s">
        <v>389</v>
      </c>
      <c r="D975" t="s">
        <v>25</v>
      </c>
      <c r="E975" t="s">
        <v>54</v>
      </c>
      <c r="F975" t="s">
        <v>27</v>
      </c>
      <c r="G975" t="s">
        <v>22</v>
      </c>
      <c r="H975">
        <v>3</v>
      </c>
      <c r="I975" s="12">
        <v>27.79</v>
      </c>
      <c r="J975" s="12">
        <v>0</v>
      </c>
      <c r="K975" s="9">
        <v>83.36</v>
      </c>
      <c r="L975" s="9">
        <v>21.85</v>
      </c>
      <c r="M975" s="9">
        <f t="shared" si="15"/>
        <v>0</v>
      </c>
    </row>
    <row r="976" spans="1:13" x14ac:dyDescent="0.3">
      <c r="A976" t="s">
        <v>1300</v>
      </c>
      <c r="B976" s="1">
        <v>45948</v>
      </c>
      <c r="C976" t="s">
        <v>50</v>
      </c>
      <c r="D976" t="s">
        <v>25</v>
      </c>
      <c r="E976" t="s">
        <v>20</v>
      </c>
      <c r="F976" t="s">
        <v>21</v>
      </c>
      <c r="G976" t="s">
        <v>17</v>
      </c>
      <c r="H976">
        <v>4</v>
      </c>
      <c r="I976" s="12">
        <v>192.99</v>
      </c>
      <c r="J976" s="12">
        <v>0.05</v>
      </c>
      <c r="K976" s="9">
        <v>733.36</v>
      </c>
      <c r="L976" s="9">
        <v>53.77</v>
      </c>
      <c r="M976" s="9">
        <f t="shared" si="15"/>
        <v>38.598000000000006</v>
      </c>
    </row>
    <row r="977" spans="1:13" x14ac:dyDescent="0.3">
      <c r="A977" t="s">
        <v>1301</v>
      </c>
      <c r="B977" s="1">
        <v>45948</v>
      </c>
      <c r="C977" t="s">
        <v>94</v>
      </c>
      <c r="D977" t="s">
        <v>40</v>
      </c>
      <c r="E977" t="s">
        <v>26</v>
      </c>
      <c r="F977" t="s">
        <v>27</v>
      </c>
      <c r="G977" t="s">
        <v>28</v>
      </c>
      <c r="H977">
        <v>2</v>
      </c>
      <c r="I977" s="12">
        <v>78</v>
      </c>
      <c r="J977" s="12">
        <v>0.15</v>
      </c>
      <c r="K977" s="9">
        <v>132.61000000000001</v>
      </c>
      <c r="L977" s="9">
        <v>11.69</v>
      </c>
      <c r="M977" s="9">
        <f t="shared" si="15"/>
        <v>23.4</v>
      </c>
    </row>
    <row r="978" spans="1:13" x14ac:dyDescent="0.3">
      <c r="A978" t="s">
        <v>1302</v>
      </c>
      <c r="B978" s="1">
        <v>45948</v>
      </c>
      <c r="C978" t="s">
        <v>290</v>
      </c>
      <c r="D978" t="s">
        <v>25</v>
      </c>
      <c r="E978" t="s">
        <v>37</v>
      </c>
      <c r="F978" t="s">
        <v>27</v>
      </c>
      <c r="G978" t="s">
        <v>22</v>
      </c>
      <c r="H978">
        <v>2</v>
      </c>
      <c r="I978" s="12">
        <v>200.49</v>
      </c>
      <c r="J978" s="12">
        <v>0</v>
      </c>
      <c r="K978" s="9">
        <v>400.99</v>
      </c>
      <c r="L978" s="9">
        <v>110.67</v>
      </c>
      <c r="M978" s="9">
        <f t="shared" si="15"/>
        <v>0</v>
      </c>
    </row>
    <row r="979" spans="1:13" x14ac:dyDescent="0.3">
      <c r="A979" t="s">
        <v>1303</v>
      </c>
      <c r="B979" s="1">
        <v>45948</v>
      </c>
      <c r="C979" t="s">
        <v>132</v>
      </c>
      <c r="D979" t="s">
        <v>14</v>
      </c>
      <c r="E979" t="s">
        <v>56</v>
      </c>
      <c r="F979" t="s">
        <v>21</v>
      </c>
      <c r="G979" t="s">
        <v>32</v>
      </c>
      <c r="H979">
        <v>2</v>
      </c>
      <c r="I979" s="12">
        <v>348.49</v>
      </c>
      <c r="J979" s="12">
        <v>0.05</v>
      </c>
      <c r="K979" s="9">
        <v>662.14</v>
      </c>
      <c r="L979" s="9">
        <v>179.17</v>
      </c>
      <c r="M979" s="9">
        <f t="shared" si="15"/>
        <v>34.849000000000004</v>
      </c>
    </row>
    <row r="980" spans="1:13" x14ac:dyDescent="0.3">
      <c r="A980" t="s">
        <v>1304</v>
      </c>
      <c r="B980" s="1">
        <v>45949</v>
      </c>
      <c r="C980" t="s">
        <v>1028</v>
      </c>
      <c r="D980" t="s">
        <v>14</v>
      </c>
      <c r="E980" t="s">
        <v>51</v>
      </c>
      <c r="F980" t="s">
        <v>27</v>
      </c>
      <c r="G980" t="s">
        <v>22</v>
      </c>
      <c r="H980">
        <v>3</v>
      </c>
      <c r="I980" s="12">
        <v>879.09</v>
      </c>
      <c r="J980" s="12">
        <v>0.15</v>
      </c>
      <c r="K980" s="9">
        <v>2241.69</v>
      </c>
      <c r="L980" s="9">
        <v>487.49</v>
      </c>
      <c r="M980" s="9">
        <f t="shared" si="15"/>
        <v>395.59049999999996</v>
      </c>
    </row>
    <row r="981" spans="1:13" x14ac:dyDescent="0.3">
      <c r="A981" t="s">
        <v>1305</v>
      </c>
      <c r="B981" s="1">
        <v>45949</v>
      </c>
      <c r="C981" t="s">
        <v>1046</v>
      </c>
      <c r="D981" t="s">
        <v>14</v>
      </c>
      <c r="E981" t="s">
        <v>31</v>
      </c>
      <c r="F981" t="s">
        <v>21</v>
      </c>
      <c r="G981" t="s">
        <v>17</v>
      </c>
      <c r="H981">
        <v>5</v>
      </c>
      <c r="I981" s="12">
        <v>44.31</v>
      </c>
      <c r="J981" s="12">
        <v>0</v>
      </c>
      <c r="K981" s="9">
        <v>221.57</v>
      </c>
      <c r="L981" s="9">
        <v>35.15</v>
      </c>
      <c r="M981" s="9">
        <f t="shared" si="15"/>
        <v>0</v>
      </c>
    </row>
    <row r="982" spans="1:13" x14ac:dyDescent="0.3">
      <c r="A982" t="s">
        <v>1306</v>
      </c>
      <c r="B982" s="1">
        <v>45949</v>
      </c>
      <c r="C982" t="s">
        <v>132</v>
      </c>
      <c r="D982" t="s">
        <v>14</v>
      </c>
      <c r="E982" t="s">
        <v>20</v>
      </c>
      <c r="F982" t="s">
        <v>21</v>
      </c>
      <c r="G982" t="s">
        <v>32</v>
      </c>
      <c r="H982">
        <v>1</v>
      </c>
      <c r="I982" s="12">
        <v>184.55</v>
      </c>
      <c r="J982" s="12">
        <v>0</v>
      </c>
      <c r="K982" s="9">
        <v>184.55</v>
      </c>
      <c r="L982" s="9">
        <v>25.37</v>
      </c>
      <c r="M982" s="9">
        <f t="shared" si="15"/>
        <v>0</v>
      </c>
    </row>
    <row r="983" spans="1:13" x14ac:dyDescent="0.3">
      <c r="A983" t="s">
        <v>1307</v>
      </c>
      <c r="B983" s="1">
        <v>45949</v>
      </c>
      <c r="C983" t="s">
        <v>581</v>
      </c>
      <c r="D983" t="s">
        <v>14</v>
      </c>
      <c r="E983" t="s">
        <v>37</v>
      </c>
      <c r="F983" t="s">
        <v>27</v>
      </c>
      <c r="G983" t="s">
        <v>28</v>
      </c>
      <c r="H983">
        <v>2</v>
      </c>
      <c r="I983" s="12">
        <v>217.44</v>
      </c>
      <c r="J983" s="12">
        <v>0.05</v>
      </c>
      <c r="K983" s="9">
        <v>413.13</v>
      </c>
      <c r="L983" s="9">
        <v>84.41</v>
      </c>
      <c r="M983" s="9">
        <f t="shared" si="15"/>
        <v>21.744</v>
      </c>
    </row>
    <row r="984" spans="1:13" x14ac:dyDescent="0.3">
      <c r="A984" t="s">
        <v>1308</v>
      </c>
      <c r="B984" s="1">
        <v>45950</v>
      </c>
      <c r="C984" t="s">
        <v>721</v>
      </c>
      <c r="D984" t="s">
        <v>40</v>
      </c>
      <c r="E984" t="s">
        <v>15</v>
      </c>
      <c r="F984" t="s">
        <v>16</v>
      </c>
      <c r="G984" t="s">
        <v>22</v>
      </c>
      <c r="H984">
        <v>1</v>
      </c>
      <c r="I984" s="12">
        <v>12.82</v>
      </c>
      <c r="J984" s="12">
        <v>0</v>
      </c>
      <c r="K984" s="9">
        <v>12.82</v>
      </c>
      <c r="L984" s="9">
        <v>1.29</v>
      </c>
      <c r="M984" s="9">
        <f t="shared" si="15"/>
        <v>0</v>
      </c>
    </row>
    <row r="985" spans="1:13" x14ac:dyDescent="0.3">
      <c r="A985" t="s">
        <v>1309</v>
      </c>
      <c r="B985" s="1">
        <v>45950</v>
      </c>
      <c r="C985" t="s">
        <v>1028</v>
      </c>
      <c r="D985" t="s">
        <v>14</v>
      </c>
      <c r="E985" t="s">
        <v>92</v>
      </c>
      <c r="F985" t="s">
        <v>16</v>
      </c>
      <c r="G985" t="s">
        <v>28</v>
      </c>
      <c r="H985">
        <v>1</v>
      </c>
      <c r="I985" s="12">
        <v>8.69</v>
      </c>
      <c r="J985" s="12">
        <v>0.1</v>
      </c>
      <c r="K985" s="9">
        <v>7.82</v>
      </c>
      <c r="L985" s="9">
        <v>0.95</v>
      </c>
      <c r="M985" s="9">
        <f t="shared" si="15"/>
        <v>0.86899999999999999</v>
      </c>
    </row>
    <row r="986" spans="1:13" x14ac:dyDescent="0.3">
      <c r="A986" t="s">
        <v>1310</v>
      </c>
      <c r="B986" s="1">
        <v>45951</v>
      </c>
      <c r="C986" t="s">
        <v>1127</v>
      </c>
      <c r="D986" t="s">
        <v>40</v>
      </c>
      <c r="E986" t="s">
        <v>37</v>
      </c>
      <c r="F986" t="s">
        <v>27</v>
      </c>
      <c r="G986" t="s">
        <v>17</v>
      </c>
      <c r="H986">
        <v>2</v>
      </c>
      <c r="I986" s="12">
        <v>209.43</v>
      </c>
      <c r="J986" s="12">
        <v>0.05</v>
      </c>
      <c r="K986" s="9">
        <v>397.91</v>
      </c>
      <c r="L986" s="9">
        <v>59.09</v>
      </c>
      <c r="M986" s="9">
        <f t="shared" si="15"/>
        <v>20.943000000000001</v>
      </c>
    </row>
    <row r="987" spans="1:13" x14ac:dyDescent="0.3">
      <c r="A987" t="s">
        <v>1311</v>
      </c>
      <c r="B987" s="1">
        <v>45951</v>
      </c>
      <c r="C987" t="s">
        <v>544</v>
      </c>
      <c r="D987" t="s">
        <v>14</v>
      </c>
      <c r="E987" t="s">
        <v>26</v>
      </c>
      <c r="F987" t="s">
        <v>27</v>
      </c>
      <c r="G987" t="s">
        <v>17</v>
      </c>
      <c r="H987">
        <v>3</v>
      </c>
      <c r="I987" s="12">
        <v>75.959999999999994</v>
      </c>
      <c r="J987" s="12">
        <v>0</v>
      </c>
      <c r="K987" s="9">
        <v>227.88</v>
      </c>
      <c r="L987" s="9">
        <v>56.55</v>
      </c>
      <c r="M987" s="9">
        <f t="shared" si="15"/>
        <v>0</v>
      </c>
    </row>
    <row r="988" spans="1:13" x14ac:dyDescent="0.3">
      <c r="A988" t="s">
        <v>1312</v>
      </c>
      <c r="B988" s="1">
        <v>45952</v>
      </c>
      <c r="C988" t="s">
        <v>64</v>
      </c>
      <c r="D988" t="s">
        <v>14</v>
      </c>
      <c r="E988" t="s">
        <v>20</v>
      </c>
      <c r="F988" t="s">
        <v>21</v>
      </c>
      <c r="G988" t="s">
        <v>17</v>
      </c>
      <c r="H988">
        <v>2</v>
      </c>
      <c r="I988" s="12">
        <v>172</v>
      </c>
      <c r="J988" s="12">
        <v>0</v>
      </c>
      <c r="K988" s="9">
        <v>344</v>
      </c>
      <c r="L988" s="9">
        <v>83.71</v>
      </c>
      <c r="M988" s="9">
        <f t="shared" si="15"/>
        <v>0</v>
      </c>
    </row>
    <row r="989" spans="1:13" x14ac:dyDescent="0.3">
      <c r="A989" t="s">
        <v>1313</v>
      </c>
      <c r="B989" s="1">
        <v>45952</v>
      </c>
      <c r="C989" t="s">
        <v>134</v>
      </c>
      <c r="D989" t="s">
        <v>25</v>
      </c>
      <c r="E989" t="s">
        <v>41</v>
      </c>
      <c r="F989" t="s">
        <v>42</v>
      </c>
      <c r="G989" t="s">
        <v>22</v>
      </c>
      <c r="H989">
        <v>2</v>
      </c>
      <c r="I989" s="12">
        <v>55.19</v>
      </c>
      <c r="J989" s="12">
        <v>0</v>
      </c>
      <c r="K989" s="9">
        <v>110.38</v>
      </c>
      <c r="L989" s="9">
        <v>28.88</v>
      </c>
      <c r="M989" s="9">
        <f t="shared" si="15"/>
        <v>0</v>
      </c>
    </row>
    <row r="990" spans="1:13" x14ac:dyDescent="0.3">
      <c r="A990" t="s">
        <v>1314</v>
      </c>
      <c r="B990" s="1">
        <v>45953</v>
      </c>
      <c r="C990" t="s">
        <v>1077</v>
      </c>
      <c r="D990" t="s">
        <v>25</v>
      </c>
      <c r="E990" t="s">
        <v>54</v>
      </c>
      <c r="F990" t="s">
        <v>27</v>
      </c>
      <c r="G990" t="s">
        <v>22</v>
      </c>
      <c r="H990">
        <v>1</v>
      </c>
      <c r="I990" s="12">
        <v>28.53</v>
      </c>
      <c r="J990" s="12">
        <v>0.1</v>
      </c>
      <c r="K990" s="9">
        <v>25.67</v>
      </c>
      <c r="L990" s="9">
        <v>4.5</v>
      </c>
      <c r="M990" s="9">
        <f t="shared" si="15"/>
        <v>2.8530000000000002</v>
      </c>
    </row>
    <row r="991" spans="1:13" x14ac:dyDescent="0.3">
      <c r="A991" t="s">
        <v>1315</v>
      </c>
      <c r="B991" s="1">
        <v>45953</v>
      </c>
      <c r="C991" t="s">
        <v>118</v>
      </c>
      <c r="D991" t="s">
        <v>40</v>
      </c>
      <c r="E991" t="s">
        <v>110</v>
      </c>
      <c r="F991" t="s">
        <v>42</v>
      </c>
      <c r="G991" t="s">
        <v>17</v>
      </c>
      <c r="H991">
        <v>2</v>
      </c>
      <c r="I991" s="12">
        <v>20.16</v>
      </c>
      <c r="J991" s="12">
        <v>0.1</v>
      </c>
      <c r="K991" s="9">
        <v>36.28</v>
      </c>
      <c r="L991" s="9">
        <v>8.81</v>
      </c>
      <c r="M991" s="9">
        <f t="shared" si="15"/>
        <v>4.032</v>
      </c>
    </row>
    <row r="992" spans="1:13" x14ac:dyDescent="0.3">
      <c r="A992" t="s">
        <v>1316</v>
      </c>
      <c r="B992" s="1">
        <v>45954</v>
      </c>
      <c r="C992" t="s">
        <v>990</v>
      </c>
      <c r="D992" t="s">
        <v>25</v>
      </c>
      <c r="E992" t="s">
        <v>65</v>
      </c>
      <c r="F992" t="s">
        <v>16</v>
      </c>
      <c r="G992" t="s">
        <v>32</v>
      </c>
      <c r="H992">
        <v>2</v>
      </c>
      <c r="I992" s="12">
        <v>19.36</v>
      </c>
      <c r="J992" s="12">
        <v>0</v>
      </c>
      <c r="K992" s="9">
        <v>38.729999999999997</v>
      </c>
      <c r="L992" s="9">
        <v>4.62</v>
      </c>
      <c r="M992" s="9">
        <f t="shared" si="15"/>
        <v>0</v>
      </c>
    </row>
    <row r="993" spans="1:13" x14ac:dyDescent="0.3">
      <c r="A993" t="s">
        <v>1317</v>
      </c>
      <c r="B993" s="1">
        <v>45954</v>
      </c>
      <c r="C993" t="s">
        <v>164</v>
      </c>
      <c r="D993" t="s">
        <v>25</v>
      </c>
      <c r="E993" t="s">
        <v>92</v>
      </c>
      <c r="F993" t="s">
        <v>16</v>
      </c>
      <c r="G993" t="s">
        <v>22</v>
      </c>
      <c r="H993">
        <v>2</v>
      </c>
      <c r="I993" s="12">
        <v>9.77</v>
      </c>
      <c r="J993" s="12">
        <v>0.05</v>
      </c>
      <c r="K993" s="9">
        <v>18.559999999999999</v>
      </c>
      <c r="L993" s="9">
        <v>3.21</v>
      </c>
      <c r="M993" s="9">
        <f t="shared" si="15"/>
        <v>0.97699999999999998</v>
      </c>
    </row>
    <row r="994" spans="1:13" x14ac:dyDescent="0.3">
      <c r="A994" t="s">
        <v>1318</v>
      </c>
      <c r="B994" s="1">
        <v>45955</v>
      </c>
      <c r="C994" t="s">
        <v>254</v>
      </c>
      <c r="D994" t="s">
        <v>40</v>
      </c>
      <c r="E994" t="s">
        <v>15</v>
      </c>
      <c r="F994" t="s">
        <v>16</v>
      </c>
      <c r="G994" t="s">
        <v>28</v>
      </c>
      <c r="H994">
        <v>3</v>
      </c>
      <c r="I994" s="12">
        <v>12.72</v>
      </c>
      <c r="J994" s="12">
        <v>0.05</v>
      </c>
      <c r="K994" s="9">
        <v>36.26</v>
      </c>
      <c r="L994" s="9">
        <v>6.96</v>
      </c>
      <c r="M994" s="9">
        <f t="shared" si="15"/>
        <v>1.9080000000000004</v>
      </c>
    </row>
    <row r="995" spans="1:13" x14ac:dyDescent="0.3">
      <c r="A995" t="s">
        <v>1319</v>
      </c>
      <c r="B995" s="1">
        <v>45955</v>
      </c>
      <c r="C995" t="s">
        <v>105</v>
      </c>
      <c r="D995" t="s">
        <v>14</v>
      </c>
      <c r="E995" t="s">
        <v>65</v>
      </c>
      <c r="F995" t="s">
        <v>16</v>
      </c>
      <c r="G995" t="s">
        <v>32</v>
      </c>
      <c r="H995">
        <v>2</v>
      </c>
      <c r="I995" s="12">
        <v>16.510000000000002</v>
      </c>
      <c r="J995" s="12">
        <v>0.05</v>
      </c>
      <c r="K995" s="9">
        <v>31.37</v>
      </c>
      <c r="L995" s="9">
        <v>2.61</v>
      </c>
      <c r="M995" s="9">
        <f t="shared" si="15"/>
        <v>1.6510000000000002</v>
      </c>
    </row>
    <row r="996" spans="1:13" x14ac:dyDescent="0.3">
      <c r="A996" t="s">
        <v>1320</v>
      </c>
      <c r="B996" s="1">
        <v>45956</v>
      </c>
      <c r="C996" t="s">
        <v>1321</v>
      </c>
      <c r="D996" t="s">
        <v>40</v>
      </c>
      <c r="E996" t="s">
        <v>65</v>
      </c>
      <c r="F996" t="s">
        <v>16</v>
      </c>
      <c r="G996" t="s">
        <v>32</v>
      </c>
      <c r="H996">
        <v>1</v>
      </c>
      <c r="I996" s="12">
        <v>19.79</v>
      </c>
      <c r="J996" s="12">
        <v>0</v>
      </c>
      <c r="K996" s="9">
        <v>19.79</v>
      </c>
      <c r="L996" s="9">
        <v>4.9800000000000004</v>
      </c>
      <c r="M996" s="9">
        <f t="shared" si="15"/>
        <v>0</v>
      </c>
    </row>
    <row r="997" spans="1:13" x14ac:dyDescent="0.3">
      <c r="A997" t="s">
        <v>1322</v>
      </c>
      <c r="B997" s="1">
        <v>45956</v>
      </c>
      <c r="C997" t="s">
        <v>953</v>
      </c>
      <c r="D997" t="s">
        <v>14</v>
      </c>
      <c r="E997" t="s">
        <v>20</v>
      </c>
      <c r="F997" t="s">
        <v>21</v>
      </c>
      <c r="G997" t="s">
        <v>17</v>
      </c>
      <c r="H997">
        <v>1</v>
      </c>
      <c r="I997" s="12">
        <v>169.48</v>
      </c>
      <c r="J997" s="12">
        <v>0.1</v>
      </c>
      <c r="K997" s="9">
        <v>152.53</v>
      </c>
      <c r="L997" s="9">
        <v>32.450000000000003</v>
      </c>
      <c r="M997" s="9">
        <f t="shared" si="15"/>
        <v>16.948</v>
      </c>
    </row>
    <row r="998" spans="1:13" x14ac:dyDescent="0.3">
      <c r="A998" t="s">
        <v>1323</v>
      </c>
      <c r="B998" s="1">
        <v>45957</v>
      </c>
      <c r="C998" t="s">
        <v>825</v>
      </c>
      <c r="D998" t="s">
        <v>40</v>
      </c>
      <c r="E998" t="s">
        <v>92</v>
      </c>
      <c r="F998" t="s">
        <v>16</v>
      </c>
      <c r="G998" t="s">
        <v>28</v>
      </c>
      <c r="H998">
        <v>3</v>
      </c>
      <c r="I998" s="12">
        <v>9</v>
      </c>
      <c r="J998" s="12">
        <v>0.1</v>
      </c>
      <c r="K998" s="9">
        <v>24.29</v>
      </c>
      <c r="L998" s="9">
        <v>1.81</v>
      </c>
      <c r="M998" s="9">
        <f t="shared" si="15"/>
        <v>2.7</v>
      </c>
    </row>
    <row r="999" spans="1:13" x14ac:dyDescent="0.3">
      <c r="A999" t="s">
        <v>1324</v>
      </c>
      <c r="B999" s="1">
        <v>45957</v>
      </c>
      <c r="C999" t="s">
        <v>72</v>
      </c>
      <c r="D999" t="s">
        <v>14</v>
      </c>
      <c r="E999" t="s">
        <v>110</v>
      </c>
      <c r="F999" t="s">
        <v>42</v>
      </c>
      <c r="G999" t="s">
        <v>22</v>
      </c>
      <c r="H999">
        <v>2</v>
      </c>
      <c r="I999" s="12">
        <v>21.75</v>
      </c>
      <c r="J999" s="12">
        <v>0</v>
      </c>
      <c r="K999" s="9">
        <v>43.51</v>
      </c>
      <c r="L999" s="9">
        <v>8.93</v>
      </c>
      <c r="M999" s="9">
        <f t="shared" si="15"/>
        <v>0</v>
      </c>
    </row>
    <row r="1000" spans="1:13" x14ac:dyDescent="0.3">
      <c r="A1000" t="s">
        <v>1325</v>
      </c>
      <c r="B1000" s="1">
        <v>45958</v>
      </c>
      <c r="C1000" t="s">
        <v>571</v>
      </c>
      <c r="D1000" t="s">
        <v>40</v>
      </c>
      <c r="E1000" t="s">
        <v>15</v>
      </c>
      <c r="F1000" t="s">
        <v>16</v>
      </c>
      <c r="G1000" t="s">
        <v>22</v>
      </c>
      <c r="H1000">
        <v>2</v>
      </c>
      <c r="I1000" s="12">
        <v>13.04</v>
      </c>
      <c r="J1000" s="12">
        <v>0.1</v>
      </c>
      <c r="K1000" s="9">
        <v>23.46</v>
      </c>
      <c r="L1000" s="9">
        <v>3.19</v>
      </c>
      <c r="M1000" s="9">
        <f t="shared" si="15"/>
        <v>2.6080000000000001</v>
      </c>
    </row>
    <row r="1001" spans="1:13" x14ac:dyDescent="0.3">
      <c r="A1001" t="s">
        <v>1326</v>
      </c>
      <c r="B1001" s="1">
        <v>45958</v>
      </c>
      <c r="C1001" t="s">
        <v>544</v>
      </c>
      <c r="D1001" t="s">
        <v>40</v>
      </c>
      <c r="E1001" t="s">
        <v>37</v>
      </c>
      <c r="F1001" t="s">
        <v>27</v>
      </c>
      <c r="G1001" t="s">
        <v>17</v>
      </c>
      <c r="H1001">
        <v>2</v>
      </c>
      <c r="I1001" s="12">
        <v>218.61</v>
      </c>
      <c r="J1001" s="12">
        <v>0.05</v>
      </c>
      <c r="K1001" s="9">
        <v>415.37</v>
      </c>
      <c r="L1001" s="9">
        <v>49.75</v>
      </c>
      <c r="M1001" s="9">
        <f t="shared" si="15"/>
        <v>21.861000000000004</v>
      </c>
    </row>
    <row r="1002" spans="1:13" x14ac:dyDescent="0.3">
      <c r="A1002" t="s">
        <v>1327</v>
      </c>
      <c r="B1002" s="1">
        <v>45958</v>
      </c>
      <c r="C1002" t="s">
        <v>248</v>
      </c>
      <c r="D1002" t="s">
        <v>14</v>
      </c>
      <c r="E1002" t="s">
        <v>65</v>
      </c>
      <c r="F1002" t="s">
        <v>16</v>
      </c>
      <c r="G1002" t="s">
        <v>22</v>
      </c>
      <c r="H1002">
        <v>1</v>
      </c>
      <c r="I1002" s="12">
        <v>19.48</v>
      </c>
      <c r="J1002" s="12">
        <v>0</v>
      </c>
      <c r="K1002" s="9">
        <v>19.48</v>
      </c>
      <c r="L1002" s="9">
        <v>4.03</v>
      </c>
      <c r="M1002" s="9">
        <f t="shared" si="15"/>
        <v>0</v>
      </c>
    </row>
    <row r="1003" spans="1:13" x14ac:dyDescent="0.3">
      <c r="A1003" t="s">
        <v>1328</v>
      </c>
      <c r="B1003" s="1">
        <v>45958</v>
      </c>
      <c r="C1003" t="s">
        <v>466</v>
      </c>
      <c r="D1003" t="s">
        <v>14</v>
      </c>
      <c r="E1003" t="s">
        <v>65</v>
      </c>
      <c r="F1003" t="s">
        <v>16</v>
      </c>
      <c r="G1003" t="s">
        <v>17</v>
      </c>
      <c r="H1003">
        <v>4</v>
      </c>
      <c r="I1003" s="12">
        <v>17</v>
      </c>
      <c r="J1003" s="12">
        <v>0.2</v>
      </c>
      <c r="K1003" s="9">
        <v>54.4</v>
      </c>
      <c r="L1003" s="9">
        <v>3.75</v>
      </c>
      <c r="M1003" s="9">
        <f t="shared" si="15"/>
        <v>13.600000000000001</v>
      </c>
    </row>
    <row r="1004" spans="1:13" x14ac:dyDescent="0.3">
      <c r="A1004" t="s">
        <v>1329</v>
      </c>
      <c r="B1004" s="1">
        <v>45958</v>
      </c>
      <c r="C1004" t="s">
        <v>798</v>
      </c>
      <c r="D1004" t="s">
        <v>14</v>
      </c>
      <c r="E1004" t="s">
        <v>110</v>
      </c>
      <c r="F1004" t="s">
        <v>42</v>
      </c>
      <c r="G1004" t="s">
        <v>28</v>
      </c>
      <c r="H1004">
        <v>1</v>
      </c>
      <c r="I1004" s="12">
        <v>19.809999999999999</v>
      </c>
      <c r="J1004" s="12">
        <v>0.05</v>
      </c>
      <c r="K1004" s="9">
        <v>18.82</v>
      </c>
      <c r="L1004" s="9">
        <v>3.13</v>
      </c>
      <c r="M1004" s="9">
        <f t="shared" si="15"/>
        <v>0.99049999999999994</v>
      </c>
    </row>
    <row r="1005" spans="1:13" x14ac:dyDescent="0.3">
      <c r="A1005" t="s">
        <v>1330</v>
      </c>
      <c r="B1005" s="1">
        <v>45958</v>
      </c>
      <c r="C1005" t="s">
        <v>118</v>
      </c>
      <c r="D1005" t="s">
        <v>14</v>
      </c>
      <c r="E1005" t="s">
        <v>37</v>
      </c>
      <c r="F1005" t="s">
        <v>27</v>
      </c>
      <c r="G1005" t="s">
        <v>22</v>
      </c>
      <c r="H1005">
        <v>1</v>
      </c>
      <c r="I1005" s="12">
        <v>199.81</v>
      </c>
      <c r="J1005" s="12">
        <v>0</v>
      </c>
      <c r="K1005" s="9">
        <v>199.81</v>
      </c>
      <c r="L1005" s="9">
        <v>21.41</v>
      </c>
      <c r="M1005" s="9">
        <f t="shared" si="15"/>
        <v>0</v>
      </c>
    </row>
    <row r="1006" spans="1:13" x14ac:dyDescent="0.3">
      <c r="A1006" t="s">
        <v>1331</v>
      </c>
      <c r="B1006" s="1">
        <v>45959</v>
      </c>
      <c r="C1006" t="s">
        <v>655</v>
      </c>
      <c r="D1006" t="s">
        <v>40</v>
      </c>
      <c r="E1006" t="s">
        <v>110</v>
      </c>
      <c r="F1006" t="s">
        <v>42</v>
      </c>
      <c r="G1006" t="s">
        <v>32</v>
      </c>
      <c r="H1006">
        <v>2</v>
      </c>
      <c r="I1006" s="12">
        <v>21.69</v>
      </c>
      <c r="J1006" s="12">
        <v>0.05</v>
      </c>
      <c r="K1006" s="9">
        <v>41.21</v>
      </c>
      <c r="L1006" s="9">
        <v>10.76</v>
      </c>
      <c r="M1006" s="9">
        <f t="shared" si="15"/>
        <v>2.169</v>
      </c>
    </row>
    <row r="1007" spans="1:13" x14ac:dyDescent="0.3">
      <c r="A1007" t="s">
        <v>1332</v>
      </c>
      <c r="B1007" s="1">
        <v>45959</v>
      </c>
      <c r="C1007" t="s">
        <v>818</v>
      </c>
      <c r="D1007" t="s">
        <v>14</v>
      </c>
      <c r="E1007" t="s">
        <v>92</v>
      </c>
      <c r="F1007" t="s">
        <v>16</v>
      </c>
      <c r="G1007" t="s">
        <v>32</v>
      </c>
      <c r="H1007">
        <v>1</v>
      </c>
      <c r="I1007" s="12">
        <v>9.51</v>
      </c>
      <c r="J1007" s="12">
        <v>0.2</v>
      </c>
      <c r="K1007" s="9">
        <v>7.61</v>
      </c>
      <c r="L1007" s="9">
        <v>1.74</v>
      </c>
      <c r="M1007" s="9">
        <f t="shared" si="15"/>
        <v>1.9020000000000001</v>
      </c>
    </row>
    <row r="1008" spans="1:13" x14ac:dyDescent="0.3">
      <c r="A1008" t="s">
        <v>1333</v>
      </c>
      <c r="B1008" s="1">
        <v>45959</v>
      </c>
      <c r="C1008" t="s">
        <v>62</v>
      </c>
      <c r="D1008" t="s">
        <v>40</v>
      </c>
      <c r="E1008" t="s">
        <v>54</v>
      </c>
      <c r="F1008" t="s">
        <v>27</v>
      </c>
      <c r="G1008" t="s">
        <v>17</v>
      </c>
      <c r="H1008">
        <v>1</v>
      </c>
      <c r="I1008" s="12">
        <v>28.46</v>
      </c>
      <c r="J1008" s="12">
        <v>0.1</v>
      </c>
      <c r="K1008" s="9">
        <v>25.62</v>
      </c>
      <c r="L1008" s="9">
        <v>2.5499999999999998</v>
      </c>
      <c r="M1008" s="9">
        <f t="shared" si="15"/>
        <v>2.8460000000000001</v>
      </c>
    </row>
    <row r="1009" spans="1:13" x14ac:dyDescent="0.3">
      <c r="A1009" t="s">
        <v>1334</v>
      </c>
      <c r="B1009" s="1">
        <v>45960</v>
      </c>
      <c r="C1009" t="s">
        <v>547</v>
      </c>
      <c r="D1009" t="s">
        <v>14</v>
      </c>
      <c r="E1009" t="s">
        <v>65</v>
      </c>
      <c r="F1009" t="s">
        <v>16</v>
      </c>
      <c r="G1009" t="s">
        <v>28</v>
      </c>
      <c r="H1009">
        <v>2</v>
      </c>
      <c r="I1009" s="12">
        <v>18.399999999999999</v>
      </c>
      <c r="J1009" s="12">
        <v>0.05</v>
      </c>
      <c r="K1009" s="9">
        <v>34.96</v>
      </c>
      <c r="L1009" s="9">
        <v>2.4300000000000002</v>
      </c>
      <c r="M1009" s="9">
        <f t="shared" si="15"/>
        <v>1.8399999999999999</v>
      </c>
    </row>
    <row r="1010" spans="1:13" x14ac:dyDescent="0.3">
      <c r="A1010" t="s">
        <v>1335</v>
      </c>
      <c r="B1010" s="1">
        <v>45960</v>
      </c>
      <c r="C1010" t="s">
        <v>175</v>
      </c>
      <c r="D1010" t="s">
        <v>25</v>
      </c>
      <c r="E1010" t="s">
        <v>15</v>
      </c>
      <c r="F1010" t="s">
        <v>16</v>
      </c>
      <c r="G1010" t="s">
        <v>28</v>
      </c>
      <c r="H1010">
        <v>5</v>
      </c>
      <c r="I1010" s="12">
        <v>14.01</v>
      </c>
      <c r="J1010" s="12">
        <v>0.1</v>
      </c>
      <c r="K1010" s="9">
        <v>63.03</v>
      </c>
      <c r="L1010" s="9">
        <v>5.53</v>
      </c>
      <c r="M1010" s="9">
        <f t="shared" si="15"/>
        <v>7.0049999999999999</v>
      </c>
    </row>
    <row r="1011" spans="1:13" x14ac:dyDescent="0.3">
      <c r="A1011" t="s">
        <v>1336</v>
      </c>
      <c r="B1011" s="1">
        <v>45960</v>
      </c>
      <c r="C1011" t="s">
        <v>1337</v>
      </c>
      <c r="D1011" t="s">
        <v>25</v>
      </c>
      <c r="E1011" t="s">
        <v>92</v>
      </c>
      <c r="F1011" t="s">
        <v>16</v>
      </c>
      <c r="G1011" t="s">
        <v>17</v>
      </c>
      <c r="H1011">
        <v>4</v>
      </c>
      <c r="I1011" s="12">
        <v>8.15</v>
      </c>
      <c r="J1011" s="12">
        <v>0</v>
      </c>
      <c r="K1011" s="9">
        <v>32.590000000000003</v>
      </c>
      <c r="L1011" s="9">
        <v>5.0599999999999996</v>
      </c>
      <c r="M1011" s="9">
        <f t="shared" si="15"/>
        <v>0</v>
      </c>
    </row>
    <row r="1012" spans="1:13" x14ac:dyDescent="0.3">
      <c r="A1012" t="s">
        <v>1338</v>
      </c>
      <c r="B1012" s="1">
        <v>45960</v>
      </c>
      <c r="C1012" t="s">
        <v>228</v>
      </c>
      <c r="D1012" t="s">
        <v>14</v>
      </c>
      <c r="E1012" t="s">
        <v>92</v>
      </c>
      <c r="F1012" t="s">
        <v>16</v>
      </c>
      <c r="G1012" t="s">
        <v>32</v>
      </c>
      <c r="H1012">
        <v>2</v>
      </c>
      <c r="I1012" s="12">
        <v>8.1</v>
      </c>
      <c r="J1012" s="12">
        <v>0.15</v>
      </c>
      <c r="K1012" s="9">
        <v>13.77</v>
      </c>
      <c r="L1012" s="9">
        <v>1.32</v>
      </c>
      <c r="M1012" s="9">
        <f t="shared" si="15"/>
        <v>2.4299999999999997</v>
      </c>
    </row>
    <row r="1013" spans="1:13" x14ac:dyDescent="0.3">
      <c r="A1013" t="s">
        <v>1339</v>
      </c>
      <c r="B1013" s="1">
        <v>45960</v>
      </c>
      <c r="C1013" t="s">
        <v>511</v>
      </c>
      <c r="D1013" t="s">
        <v>14</v>
      </c>
      <c r="E1013" t="s">
        <v>15</v>
      </c>
      <c r="F1013" t="s">
        <v>16</v>
      </c>
      <c r="G1013" t="s">
        <v>32</v>
      </c>
      <c r="H1013">
        <v>1</v>
      </c>
      <c r="I1013" s="12">
        <v>13.56</v>
      </c>
      <c r="J1013" s="12">
        <v>0</v>
      </c>
      <c r="K1013" s="9">
        <v>13.56</v>
      </c>
      <c r="L1013" s="9">
        <v>3.7</v>
      </c>
      <c r="M1013" s="9">
        <f t="shared" si="15"/>
        <v>0</v>
      </c>
    </row>
    <row r="1014" spans="1:13" x14ac:dyDescent="0.3">
      <c r="A1014" t="s">
        <v>1340</v>
      </c>
      <c r="B1014" s="1">
        <v>45960</v>
      </c>
      <c r="C1014" t="s">
        <v>89</v>
      </c>
      <c r="D1014" t="s">
        <v>25</v>
      </c>
      <c r="E1014" t="s">
        <v>54</v>
      </c>
      <c r="F1014" t="s">
        <v>27</v>
      </c>
      <c r="G1014" t="s">
        <v>17</v>
      </c>
      <c r="H1014">
        <v>1</v>
      </c>
      <c r="I1014" s="12">
        <v>26.81</v>
      </c>
      <c r="J1014" s="12">
        <v>0.05</v>
      </c>
      <c r="K1014" s="9">
        <v>25.47</v>
      </c>
      <c r="L1014" s="9">
        <v>2.23</v>
      </c>
      <c r="M1014" s="9">
        <f t="shared" si="15"/>
        <v>1.3405</v>
      </c>
    </row>
    <row r="1015" spans="1:13" x14ac:dyDescent="0.3">
      <c r="A1015" t="s">
        <v>1341</v>
      </c>
      <c r="B1015" s="1">
        <v>45960</v>
      </c>
      <c r="C1015" t="s">
        <v>404</v>
      </c>
      <c r="D1015" t="s">
        <v>14</v>
      </c>
      <c r="E1015" t="s">
        <v>20</v>
      </c>
      <c r="F1015" t="s">
        <v>21</v>
      </c>
      <c r="G1015" t="s">
        <v>22</v>
      </c>
      <c r="H1015">
        <v>1</v>
      </c>
      <c r="I1015" s="12">
        <v>166.08</v>
      </c>
      <c r="J1015" s="12">
        <v>0.1</v>
      </c>
      <c r="K1015" s="9">
        <v>149.47999999999999</v>
      </c>
      <c r="L1015" s="9">
        <v>39.11</v>
      </c>
      <c r="M1015" s="9">
        <f t="shared" si="15"/>
        <v>16.608000000000001</v>
      </c>
    </row>
    <row r="1016" spans="1:13" x14ac:dyDescent="0.3">
      <c r="A1016" t="s">
        <v>1342</v>
      </c>
      <c r="B1016" s="1">
        <v>45960</v>
      </c>
      <c r="C1016" t="s">
        <v>187</v>
      </c>
      <c r="D1016" t="s">
        <v>14</v>
      </c>
      <c r="E1016" t="s">
        <v>110</v>
      </c>
      <c r="F1016" t="s">
        <v>42</v>
      </c>
      <c r="G1016" t="s">
        <v>22</v>
      </c>
      <c r="H1016">
        <v>1</v>
      </c>
      <c r="I1016" s="12">
        <v>21.98</v>
      </c>
      <c r="J1016" s="12">
        <v>0.1</v>
      </c>
      <c r="K1016" s="9">
        <v>19.78</v>
      </c>
      <c r="L1016" s="9">
        <v>1.79</v>
      </c>
      <c r="M1016" s="9">
        <f t="shared" si="15"/>
        <v>2.198</v>
      </c>
    </row>
    <row r="1017" spans="1:13" x14ac:dyDescent="0.3">
      <c r="A1017" t="s">
        <v>1343</v>
      </c>
      <c r="B1017" s="1">
        <v>45962</v>
      </c>
      <c r="C1017" t="s">
        <v>39</v>
      </c>
      <c r="D1017" t="s">
        <v>14</v>
      </c>
      <c r="E1017" t="s">
        <v>15</v>
      </c>
      <c r="F1017" t="s">
        <v>16</v>
      </c>
      <c r="G1017" t="s">
        <v>22</v>
      </c>
      <c r="H1017">
        <v>3</v>
      </c>
      <c r="I1017" s="12">
        <v>14.1</v>
      </c>
      <c r="J1017" s="12">
        <v>0.05</v>
      </c>
      <c r="K1017" s="9">
        <v>40.17</v>
      </c>
      <c r="L1017" s="9">
        <v>6.63</v>
      </c>
      <c r="M1017" s="9">
        <f t="shared" si="15"/>
        <v>2.1149999999999998</v>
      </c>
    </row>
    <row r="1018" spans="1:13" x14ac:dyDescent="0.3">
      <c r="A1018" t="s">
        <v>1344</v>
      </c>
      <c r="B1018" s="1">
        <v>45962</v>
      </c>
      <c r="C1018" t="s">
        <v>606</v>
      </c>
      <c r="D1018" t="s">
        <v>40</v>
      </c>
      <c r="E1018" t="s">
        <v>51</v>
      </c>
      <c r="F1018" t="s">
        <v>27</v>
      </c>
      <c r="G1018" t="s">
        <v>22</v>
      </c>
      <c r="H1018">
        <v>1</v>
      </c>
      <c r="I1018" s="12">
        <v>1042.73</v>
      </c>
      <c r="J1018" s="12">
        <v>0</v>
      </c>
      <c r="K1018" s="9">
        <v>1042.73</v>
      </c>
      <c r="L1018" s="9">
        <v>178.1</v>
      </c>
      <c r="M1018" s="9">
        <f t="shared" si="15"/>
        <v>0</v>
      </c>
    </row>
    <row r="1019" spans="1:13" x14ac:dyDescent="0.3">
      <c r="A1019" t="s">
        <v>1345</v>
      </c>
      <c r="B1019" s="1">
        <v>45963</v>
      </c>
      <c r="C1019" t="s">
        <v>385</v>
      </c>
      <c r="D1019" t="s">
        <v>25</v>
      </c>
      <c r="E1019" t="s">
        <v>65</v>
      </c>
      <c r="F1019" t="s">
        <v>16</v>
      </c>
      <c r="G1019" t="s">
        <v>17</v>
      </c>
      <c r="H1019">
        <v>3</v>
      </c>
      <c r="I1019" s="12">
        <v>17.21</v>
      </c>
      <c r="J1019" s="12">
        <v>0.05</v>
      </c>
      <c r="K1019" s="9">
        <v>49.05</v>
      </c>
      <c r="L1019" s="9">
        <v>10.64</v>
      </c>
      <c r="M1019" s="9">
        <f t="shared" si="15"/>
        <v>2.5815000000000001</v>
      </c>
    </row>
    <row r="1020" spans="1:13" x14ac:dyDescent="0.3">
      <c r="A1020" t="s">
        <v>1346</v>
      </c>
      <c r="B1020" s="1">
        <v>45963</v>
      </c>
      <c r="C1020" t="s">
        <v>191</v>
      </c>
      <c r="D1020" t="s">
        <v>25</v>
      </c>
      <c r="E1020" t="s">
        <v>20</v>
      </c>
      <c r="F1020" t="s">
        <v>21</v>
      </c>
      <c r="G1020" t="s">
        <v>17</v>
      </c>
      <c r="H1020">
        <v>1</v>
      </c>
      <c r="I1020" s="12">
        <v>165.82</v>
      </c>
      <c r="J1020" s="12">
        <v>0.05</v>
      </c>
      <c r="K1020" s="9">
        <v>157.53</v>
      </c>
      <c r="L1020" s="9">
        <v>32.200000000000003</v>
      </c>
      <c r="M1020" s="9">
        <f t="shared" si="15"/>
        <v>8.2910000000000004</v>
      </c>
    </row>
    <row r="1021" spans="1:13" x14ac:dyDescent="0.3">
      <c r="A1021" t="s">
        <v>1347</v>
      </c>
      <c r="B1021" s="1">
        <v>45963</v>
      </c>
      <c r="C1021" t="s">
        <v>1348</v>
      </c>
      <c r="D1021" t="s">
        <v>14</v>
      </c>
      <c r="E1021" t="s">
        <v>92</v>
      </c>
      <c r="F1021" t="s">
        <v>16</v>
      </c>
      <c r="G1021" t="s">
        <v>22</v>
      </c>
      <c r="H1021">
        <v>2</v>
      </c>
      <c r="I1021" s="12">
        <v>9.06</v>
      </c>
      <c r="J1021" s="12">
        <v>0</v>
      </c>
      <c r="K1021" s="9">
        <v>18.12</v>
      </c>
      <c r="L1021" s="9">
        <v>1.91</v>
      </c>
      <c r="M1021" s="9">
        <f t="shared" si="15"/>
        <v>0</v>
      </c>
    </row>
    <row r="1022" spans="1:13" x14ac:dyDescent="0.3">
      <c r="A1022" t="s">
        <v>1349</v>
      </c>
      <c r="B1022" s="1">
        <v>45964</v>
      </c>
      <c r="C1022" t="s">
        <v>187</v>
      </c>
      <c r="D1022" t="s">
        <v>40</v>
      </c>
      <c r="E1022" t="s">
        <v>110</v>
      </c>
      <c r="F1022" t="s">
        <v>42</v>
      </c>
      <c r="G1022" t="s">
        <v>32</v>
      </c>
      <c r="H1022">
        <v>1</v>
      </c>
      <c r="I1022" s="12">
        <v>22.34</v>
      </c>
      <c r="J1022" s="12">
        <v>0.1</v>
      </c>
      <c r="K1022" s="9">
        <v>20.11</v>
      </c>
      <c r="L1022" s="9">
        <v>3.62</v>
      </c>
      <c r="M1022" s="9">
        <f t="shared" si="15"/>
        <v>2.234</v>
      </c>
    </row>
    <row r="1023" spans="1:13" x14ac:dyDescent="0.3">
      <c r="A1023" t="s">
        <v>1350</v>
      </c>
      <c r="B1023" s="1">
        <v>45964</v>
      </c>
      <c r="C1023" t="s">
        <v>573</v>
      </c>
      <c r="D1023" t="s">
        <v>40</v>
      </c>
      <c r="E1023" t="s">
        <v>15</v>
      </c>
      <c r="F1023" t="s">
        <v>16</v>
      </c>
      <c r="G1023" t="s">
        <v>22</v>
      </c>
      <c r="H1023">
        <v>5</v>
      </c>
      <c r="I1023" s="12">
        <v>13.64</v>
      </c>
      <c r="J1023" s="12">
        <v>0.1</v>
      </c>
      <c r="K1023" s="9">
        <v>61.37</v>
      </c>
      <c r="L1023" s="9">
        <v>13.31</v>
      </c>
      <c r="M1023" s="9">
        <f t="shared" si="15"/>
        <v>6.82</v>
      </c>
    </row>
    <row r="1024" spans="1:13" x14ac:dyDescent="0.3">
      <c r="A1024" t="s">
        <v>1351</v>
      </c>
      <c r="B1024" s="1">
        <v>45964</v>
      </c>
      <c r="C1024" t="s">
        <v>1146</v>
      </c>
      <c r="D1024" t="s">
        <v>14</v>
      </c>
      <c r="E1024" t="s">
        <v>110</v>
      </c>
      <c r="F1024" t="s">
        <v>42</v>
      </c>
      <c r="G1024" t="s">
        <v>17</v>
      </c>
      <c r="H1024">
        <v>1</v>
      </c>
      <c r="I1024" s="12">
        <v>21.1</v>
      </c>
      <c r="J1024" s="12">
        <v>0.05</v>
      </c>
      <c r="K1024" s="9">
        <v>20.05</v>
      </c>
      <c r="L1024" s="9">
        <v>5.09</v>
      </c>
      <c r="M1024" s="9">
        <f t="shared" si="15"/>
        <v>1.0550000000000002</v>
      </c>
    </row>
    <row r="1025" spans="1:13" x14ac:dyDescent="0.3">
      <c r="A1025" t="s">
        <v>1352</v>
      </c>
      <c r="B1025" s="1">
        <v>45965</v>
      </c>
      <c r="C1025" t="s">
        <v>736</v>
      </c>
      <c r="D1025" t="s">
        <v>14</v>
      </c>
      <c r="E1025" t="s">
        <v>37</v>
      </c>
      <c r="F1025" t="s">
        <v>27</v>
      </c>
      <c r="G1025" t="s">
        <v>17</v>
      </c>
      <c r="H1025">
        <v>1</v>
      </c>
      <c r="I1025" s="12">
        <v>207.89</v>
      </c>
      <c r="J1025" s="12">
        <v>0.15</v>
      </c>
      <c r="K1025" s="9">
        <v>176.71</v>
      </c>
      <c r="L1025" s="9">
        <v>15.58</v>
      </c>
      <c r="M1025" s="9">
        <f t="shared" si="15"/>
        <v>31.183499999999995</v>
      </c>
    </row>
    <row r="1026" spans="1:13" x14ac:dyDescent="0.3">
      <c r="A1026" t="s">
        <v>1353</v>
      </c>
      <c r="B1026" s="1">
        <v>45965</v>
      </c>
      <c r="C1026" t="s">
        <v>830</v>
      </c>
      <c r="D1026" t="s">
        <v>14</v>
      </c>
      <c r="E1026" t="s">
        <v>26</v>
      </c>
      <c r="F1026" t="s">
        <v>27</v>
      </c>
      <c r="G1026" t="s">
        <v>22</v>
      </c>
      <c r="H1026">
        <v>1</v>
      </c>
      <c r="I1026" s="12">
        <v>68.16</v>
      </c>
      <c r="J1026" s="12">
        <v>0.1</v>
      </c>
      <c r="K1026" s="9">
        <v>61.35</v>
      </c>
      <c r="L1026" s="9">
        <v>16.04</v>
      </c>
      <c r="M1026" s="9">
        <f t="shared" si="15"/>
        <v>6.8159999999999998</v>
      </c>
    </row>
    <row r="1027" spans="1:13" x14ac:dyDescent="0.3">
      <c r="A1027" t="s">
        <v>1354</v>
      </c>
      <c r="B1027" s="1">
        <v>45965</v>
      </c>
      <c r="C1027" t="s">
        <v>1003</v>
      </c>
      <c r="D1027" t="s">
        <v>14</v>
      </c>
      <c r="E1027" t="s">
        <v>51</v>
      </c>
      <c r="F1027" t="s">
        <v>27</v>
      </c>
      <c r="G1027" t="s">
        <v>32</v>
      </c>
      <c r="H1027">
        <v>1</v>
      </c>
      <c r="I1027" s="12">
        <v>894.68</v>
      </c>
      <c r="J1027" s="12">
        <v>0.1</v>
      </c>
      <c r="K1027" s="9">
        <v>805.21</v>
      </c>
      <c r="L1027" s="9">
        <v>55.1</v>
      </c>
      <c r="M1027" s="9">
        <f t="shared" ref="M1027:M1090" si="16">H1027*I1027*J1027</f>
        <v>89.468000000000004</v>
      </c>
    </row>
    <row r="1028" spans="1:13" x14ac:dyDescent="0.3">
      <c r="A1028" t="s">
        <v>1355</v>
      </c>
      <c r="B1028" s="1">
        <v>45965</v>
      </c>
      <c r="C1028" t="s">
        <v>649</v>
      </c>
      <c r="D1028" t="s">
        <v>14</v>
      </c>
      <c r="E1028" t="s">
        <v>92</v>
      </c>
      <c r="F1028" t="s">
        <v>16</v>
      </c>
      <c r="G1028" t="s">
        <v>32</v>
      </c>
      <c r="H1028">
        <v>2</v>
      </c>
      <c r="I1028" s="12">
        <v>9.16</v>
      </c>
      <c r="J1028" s="12">
        <v>0.05</v>
      </c>
      <c r="K1028" s="9">
        <v>17.399999999999999</v>
      </c>
      <c r="L1028" s="9">
        <v>3.8</v>
      </c>
      <c r="M1028" s="9">
        <f t="shared" si="16"/>
        <v>0.91600000000000004</v>
      </c>
    </row>
    <row r="1029" spans="1:13" x14ac:dyDescent="0.3">
      <c r="A1029" t="s">
        <v>1356</v>
      </c>
      <c r="B1029" s="1">
        <v>45966</v>
      </c>
      <c r="C1029" t="s">
        <v>377</v>
      </c>
      <c r="D1029" t="s">
        <v>25</v>
      </c>
      <c r="E1029" t="s">
        <v>92</v>
      </c>
      <c r="F1029" t="s">
        <v>16</v>
      </c>
      <c r="G1029" t="s">
        <v>32</v>
      </c>
      <c r="H1029">
        <v>2</v>
      </c>
      <c r="I1029" s="12">
        <v>8.85</v>
      </c>
      <c r="J1029" s="12">
        <v>0</v>
      </c>
      <c r="K1029" s="9">
        <v>17.690000000000001</v>
      </c>
      <c r="L1029" s="9">
        <v>4.47</v>
      </c>
      <c r="M1029" s="9">
        <f t="shared" si="16"/>
        <v>0</v>
      </c>
    </row>
    <row r="1030" spans="1:13" x14ac:dyDescent="0.3">
      <c r="A1030" t="s">
        <v>1357</v>
      </c>
      <c r="B1030" s="1">
        <v>45966</v>
      </c>
      <c r="C1030" t="s">
        <v>778</v>
      </c>
      <c r="D1030" t="s">
        <v>25</v>
      </c>
      <c r="E1030" t="s">
        <v>37</v>
      </c>
      <c r="F1030" t="s">
        <v>27</v>
      </c>
      <c r="G1030" t="s">
        <v>32</v>
      </c>
      <c r="H1030">
        <v>1</v>
      </c>
      <c r="I1030" s="12">
        <v>207.32</v>
      </c>
      <c r="J1030" s="12">
        <v>0</v>
      </c>
      <c r="K1030" s="9">
        <v>207.32</v>
      </c>
      <c r="L1030" s="9">
        <v>43.88</v>
      </c>
      <c r="M1030" s="9">
        <f t="shared" si="16"/>
        <v>0</v>
      </c>
    </row>
    <row r="1031" spans="1:13" x14ac:dyDescent="0.3">
      <c r="A1031" t="s">
        <v>1358</v>
      </c>
      <c r="B1031" s="1">
        <v>45967</v>
      </c>
      <c r="C1031" t="s">
        <v>784</v>
      </c>
      <c r="D1031" t="s">
        <v>14</v>
      </c>
      <c r="E1031" t="s">
        <v>20</v>
      </c>
      <c r="F1031" t="s">
        <v>21</v>
      </c>
      <c r="G1031" t="s">
        <v>17</v>
      </c>
      <c r="H1031">
        <v>2</v>
      </c>
      <c r="I1031" s="12">
        <v>175.02</v>
      </c>
      <c r="J1031" s="12">
        <v>0.1</v>
      </c>
      <c r="K1031" s="9">
        <v>315.04000000000002</v>
      </c>
      <c r="L1031" s="9">
        <v>50.34</v>
      </c>
      <c r="M1031" s="9">
        <f t="shared" si="16"/>
        <v>35.004000000000005</v>
      </c>
    </row>
    <row r="1032" spans="1:13" x14ac:dyDescent="0.3">
      <c r="A1032" t="s">
        <v>1359</v>
      </c>
      <c r="B1032" s="1">
        <v>45967</v>
      </c>
      <c r="C1032" t="s">
        <v>1044</v>
      </c>
      <c r="D1032" t="s">
        <v>14</v>
      </c>
      <c r="E1032" t="s">
        <v>51</v>
      </c>
      <c r="F1032" t="s">
        <v>27</v>
      </c>
      <c r="G1032" t="s">
        <v>32</v>
      </c>
      <c r="H1032">
        <v>3</v>
      </c>
      <c r="I1032" s="12">
        <v>997.3</v>
      </c>
      <c r="J1032" s="12">
        <v>0.05</v>
      </c>
      <c r="K1032" s="9">
        <v>2842.31</v>
      </c>
      <c r="L1032" s="9">
        <v>395.47</v>
      </c>
      <c r="M1032" s="9">
        <f t="shared" si="16"/>
        <v>149.595</v>
      </c>
    </row>
    <row r="1033" spans="1:13" x14ac:dyDescent="0.3">
      <c r="A1033" t="s">
        <v>1360</v>
      </c>
      <c r="B1033" s="1">
        <v>45967</v>
      </c>
      <c r="C1033" t="s">
        <v>228</v>
      </c>
      <c r="D1033" t="s">
        <v>25</v>
      </c>
      <c r="E1033" t="s">
        <v>15</v>
      </c>
      <c r="F1033" t="s">
        <v>16</v>
      </c>
      <c r="G1033" t="s">
        <v>22</v>
      </c>
      <c r="H1033">
        <v>3</v>
      </c>
      <c r="I1033" s="12">
        <v>13.71</v>
      </c>
      <c r="J1033" s="12">
        <v>0</v>
      </c>
      <c r="K1033" s="9">
        <v>41.12</v>
      </c>
      <c r="L1033" s="9">
        <v>10.94</v>
      </c>
      <c r="M1033" s="9">
        <f t="shared" si="16"/>
        <v>0</v>
      </c>
    </row>
    <row r="1034" spans="1:13" x14ac:dyDescent="0.3">
      <c r="A1034" t="s">
        <v>1361</v>
      </c>
      <c r="B1034" s="1">
        <v>45968</v>
      </c>
      <c r="C1034" t="s">
        <v>109</v>
      </c>
      <c r="D1034" t="s">
        <v>25</v>
      </c>
      <c r="E1034" t="s">
        <v>31</v>
      </c>
      <c r="F1034" t="s">
        <v>21</v>
      </c>
      <c r="G1034" t="s">
        <v>28</v>
      </c>
      <c r="H1034">
        <v>2</v>
      </c>
      <c r="I1034" s="12">
        <v>39.020000000000003</v>
      </c>
      <c r="J1034" s="12">
        <v>0</v>
      </c>
      <c r="K1034" s="9">
        <v>78.040000000000006</v>
      </c>
      <c r="L1034" s="9">
        <v>17.739999999999998</v>
      </c>
      <c r="M1034" s="9">
        <f t="shared" si="16"/>
        <v>0</v>
      </c>
    </row>
    <row r="1035" spans="1:13" x14ac:dyDescent="0.3">
      <c r="A1035" t="s">
        <v>1362</v>
      </c>
      <c r="B1035" s="1">
        <v>45968</v>
      </c>
      <c r="C1035" t="s">
        <v>1169</v>
      </c>
      <c r="D1035" t="s">
        <v>40</v>
      </c>
      <c r="E1035" t="s">
        <v>26</v>
      </c>
      <c r="F1035" t="s">
        <v>27</v>
      </c>
      <c r="G1035" t="s">
        <v>32</v>
      </c>
      <c r="H1035">
        <v>3</v>
      </c>
      <c r="I1035" s="12">
        <v>75.09</v>
      </c>
      <c r="J1035" s="12">
        <v>0</v>
      </c>
      <c r="K1035" s="9">
        <v>225.28</v>
      </c>
      <c r="L1035" s="9">
        <v>54.73</v>
      </c>
      <c r="M1035" s="9">
        <f t="shared" si="16"/>
        <v>0</v>
      </c>
    </row>
    <row r="1036" spans="1:13" x14ac:dyDescent="0.3">
      <c r="A1036" t="s">
        <v>1363</v>
      </c>
      <c r="B1036" s="1">
        <v>45969</v>
      </c>
      <c r="C1036" t="s">
        <v>89</v>
      </c>
      <c r="D1036" t="s">
        <v>14</v>
      </c>
      <c r="E1036" t="s">
        <v>65</v>
      </c>
      <c r="F1036" t="s">
        <v>16</v>
      </c>
      <c r="G1036" t="s">
        <v>17</v>
      </c>
      <c r="H1036">
        <v>1</v>
      </c>
      <c r="I1036" s="12">
        <v>19.04</v>
      </c>
      <c r="J1036" s="12">
        <v>0.15</v>
      </c>
      <c r="K1036" s="9">
        <v>16.190000000000001</v>
      </c>
      <c r="L1036" s="9">
        <v>1.59</v>
      </c>
      <c r="M1036" s="9">
        <f t="shared" si="16"/>
        <v>2.8559999999999999</v>
      </c>
    </row>
    <row r="1037" spans="1:13" x14ac:dyDescent="0.3">
      <c r="A1037" t="s">
        <v>1364</v>
      </c>
      <c r="B1037" s="1">
        <v>45969</v>
      </c>
      <c r="C1037" t="s">
        <v>1109</v>
      </c>
      <c r="D1037" t="s">
        <v>25</v>
      </c>
      <c r="E1037" t="s">
        <v>51</v>
      </c>
      <c r="F1037" t="s">
        <v>27</v>
      </c>
      <c r="G1037" t="s">
        <v>17</v>
      </c>
      <c r="H1037">
        <v>1</v>
      </c>
      <c r="I1037" s="12">
        <v>909.25</v>
      </c>
      <c r="J1037" s="12">
        <v>0</v>
      </c>
      <c r="K1037" s="9">
        <v>909.25</v>
      </c>
      <c r="L1037" s="9">
        <v>169.41</v>
      </c>
      <c r="M1037" s="9">
        <f t="shared" si="16"/>
        <v>0</v>
      </c>
    </row>
    <row r="1038" spans="1:13" x14ac:dyDescent="0.3">
      <c r="A1038" t="s">
        <v>1365</v>
      </c>
      <c r="B1038" s="1">
        <v>45970</v>
      </c>
      <c r="C1038" t="s">
        <v>506</v>
      </c>
      <c r="D1038" t="s">
        <v>14</v>
      </c>
      <c r="E1038" t="s">
        <v>26</v>
      </c>
      <c r="F1038" t="s">
        <v>27</v>
      </c>
      <c r="G1038" t="s">
        <v>22</v>
      </c>
      <c r="H1038">
        <v>1</v>
      </c>
      <c r="I1038" s="12">
        <v>73.78</v>
      </c>
      <c r="J1038" s="12">
        <v>0.05</v>
      </c>
      <c r="K1038" s="9">
        <v>70.09</v>
      </c>
      <c r="L1038" s="9">
        <v>15.61</v>
      </c>
      <c r="M1038" s="9">
        <f t="shared" si="16"/>
        <v>3.6890000000000001</v>
      </c>
    </row>
    <row r="1039" spans="1:13" x14ac:dyDescent="0.3">
      <c r="A1039" t="s">
        <v>1366</v>
      </c>
      <c r="B1039" s="1">
        <v>45970</v>
      </c>
      <c r="C1039" t="s">
        <v>179</v>
      </c>
      <c r="D1039" t="s">
        <v>25</v>
      </c>
      <c r="E1039" t="s">
        <v>26</v>
      </c>
      <c r="F1039" t="s">
        <v>27</v>
      </c>
      <c r="G1039" t="s">
        <v>17</v>
      </c>
      <c r="H1039">
        <v>1</v>
      </c>
      <c r="I1039" s="12">
        <v>79.88</v>
      </c>
      <c r="J1039" s="12">
        <v>0</v>
      </c>
      <c r="K1039" s="9">
        <v>79.88</v>
      </c>
      <c r="L1039" s="9">
        <v>22.16</v>
      </c>
      <c r="M1039" s="9">
        <f t="shared" si="16"/>
        <v>0</v>
      </c>
    </row>
    <row r="1040" spans="1:13" x14ac:dyDescent="0.3">
      <c r="A1040" t="s">
        <v>1367</v>
      </c>
      <c r="B1040" s="1">
        <v>45970</v>
      </c>
      <c r="C1040" t="s">
        <v>651</v>
      </c>
      <c r="D1040" t="s">
        <v>14</v>
      </c>
      <c r="E1040" t="s">
        <v>20</v>
      </c>
      <c r="F1040" t="s">
        <v>21</v>
      </c>
      <c r="G1040" t="s">
        <v>32</v>
      </c>
      <c r="H1040">
        <v>4</v>
      </c>
      <c r="I1040" s="12">
        <v>197.35</v>
      </c>
      <c r="J1040" s="12">
        <v>0.15</v>
      </c>
      <c r="K1040" s="9">
        <v>670.99</v>
      </c>
      <c r="L1040" s="9">
        <v>119.12</v>
      </c>
      <c r="M1040" s="9">
        <f t="shared" si="16"/>
        <v>118.41</v>
      </c>
    </row>
    <row r="1041" spans="1:13" x14ac:dyDescent="0.3">
      <c r="A1041" t="s">
        <v>1368</v>
      </c>
      <c r="B1041" s="1">
        <v>45970</v>
      </c>
      <c r="C1041" t="s">
        <v>122</v>
      </c>
      <c r="D1041" t="s">
        <v>25</v>
      </c>
      <c r="E1041" t="s">
        <v>65</v>
      </c>
      <c r="F1041" t="s">
        <v>16</v>
      </c>
      <c r="G1041" t="s">
        <v>32</v>
      </c>
      <c r="H1041">
        <v>3</v>
      </c>
      <c r="I1041" s="12">
        <v>18.47</v>
      </c>
      <c r="J1041" s="12">
        <v>0.1</v>
      </c>
      <c r="K1041" s="9">
        <v>49.86</v>
      </c>
      <c r="L1041" s="9">
        <v>5.01</v>
      </c>
      <c r="M1041" s="9">
        <f t="shared" si="16"/>
        <v>5.5410000000000004</v>
      </c>
    </row>
    <row r="1042" spans="1:13" x14ac:dyDescent="0.3">
      <c r="A1042" t="s">
        <v>1369</v>
      </c>
      <c r="B1042" s="1">
        <v>45970</v>
      </c>
      <c r="C1042" t="s">
        <v>44</v>
      </c>
      <c r="D1042" t="s">
        <v>14</v>
      </c>
      <c r="E1042" t="s">
        <v>15</v>
      </c>
      <c r="F1042" t="s">
        <v>16</v>
      </c>
      <c r="G1042" t="s">
        <v>28</v>
      </c>
      <c r="H1042">
        <v>1</v>
      </c>
      <c r="I1042" s="12">
        <v>12.66</v>
      </c>
      <c r="J1042" s="12">
        <v>0.1</v>
      </c>
      <c r="K1042" s="9">
        <v>11.4</v>
      </c>
      <c r="L1042" s="9">
        <v>2.6</v>
      </c>
      <c r="M1042" s="9">
        <f t="shared" si="16"/>
        <v>1.266</v>
      </c>
    </row>
    <row r="1043" spans="1:13" x14ac:dyDescent="0.3">
      <c r="A1043" t="s">
        <v>1370</v>
      </c>
      <c r="B1043" s="1">
        <v>45970</v>
      </c>
      <c r="C1043" t="s">
        <v>423</v>
      </c>
      <c r="D1043" t="s">
        <v>14</v>
      </c>
      <c r="E1043" t="s">
        <v>56</v>
      </c>
      <c r="F1043" t="s">
        <v>21</v>
      </c>
      <c r="G1043" t="s">
        <v>22</v>
      </c>
      <c r="H1043">
        <v>2</v>
      </c>
      <c r="I1043" s="12">
        <v>334.84</v>
      </c>
      <c r="J1043" s="12">
        <v>0.05</v>
      </c>
      <c r="K1043" s="9">
        <v>636.19000000000005</v>
      </c>
      <c r="L1043" s="9">
        <v>150.83000000000001</v>
      </c>
      <c r="M1043" s="9">
        <f t="shared" si="16"/>
        <v>33.484000000000002</v>
      </c>
    </row>
    <row r="1044" spans="1:13" x14ac:dyDescent="0.3">
      <c r="A1044" t="s">
        <v>1371</v>
      </c>
      <c r="B1044" s="1">
        <v>45971</v>
      </c>
      <c r="C1044" t="s">
        <v>91</v>
      </c>
      <c r="D1044" t="s">
        <v>40</v>
      </c>
      <c r="E1044" t="s">
        <v>37</v>
      </c>
      <c r="F1044" t="s">
        <v>27</v>
      </c>
      <c r="G1044" t="s">
        <v>28</v>
      </c>
      <c r="H1044">
        <v>3</v>
      </c>
      <c r="I1044" s="12">
        <v>197.87</v>
      </c>
      <c r="J1044" s="12">
        <v>0</v>
      </c>
      <c r="K1044" s="9">
        <v>593.61</v>
      </c>
      <c r="L1044" s="9">
        <v>107.1</v>
      </c>
      <c r="M1044" s="9">
        <f t="shared" si="16"/>
        <v>0</v>
      </c>
    </row>
    <row r="1045" spans="1:13" x14ac:dyDescent="0.3">
      <c r="A1045" t="s">
        <v>1372</v>
      </c>
      <c r="B1045" s="1">
        <v>45971</v>
      </c>
      <c r="C1045" t="s">
        <v>36</v>
      </c>
      <c r="D1045" t="s">
        <v>25</v>
      </c>
      <c r="E1045" t="s">
        <v>26</v>
      </c>
      <c r="F1045" t="s">
        <v>27</v>
      </c>
      <c r="G1045" t="s">
        <v>32</v>
      </c>
      <c r="H1045">
        <v>1</v>
      </c>
      <c r="I1045" s="12">
        <v>74.400000000000006</v>
      </c>
      <c r="J1045" s="12">
        <v>0.15</v>
      </c>
      <c r="K1045" s="9">
        <v>63.24</v>
      </c>
      <c r="L1045" s="9">
        <v>6.2</v>
      </c>
      <c r="M1045" s="9">
        <f t="shared" si="16"/>
        <v>11.16</v>
      </c>
    </row>
    <row r="1046" spans="1:13" x14ac:dyDescent="0.3">
      <c r="A1046" t="s">
        <v>1373</v>
      </c>
      <c r="B1046" s="1">
        <v>45971</v>
      </c>
      <c r="C1046" t="s">
        <v>1103</v>
      </c>
      <c r="D1046" t="s">
        <v>14</v>
      </c>
      <c r="E1046" t="s">
        <v>15</v>
      </c>
      <c r="F1046" t="s">
        <v>16</v>
      </c>
      <c r="G1046" t="s">
        <v>32</v>
      </c>
      <c r="H1046">
        <v>2</v>
      </c>
      <c r="I1046" s="12">
        <v>13.16</v>
      </c>
      <c r="J1046" s="12">
        <v>0</v>
      </c>
      <c r="K1046" s="9">
        <v>26.32</v>
      </c>
      <c r="L1046" s="9">
        <v>2.2999999999999998</v>
      </c>
      <c r="M1046" s="9">
        <f t="shared" si="16"/>
        <v>0</v>
      </c>
    </row>
    <row r="1047" spans="1:13" x14ac:dyDescent="0.3">
      <c r="A1047" t="s">
        <v>1374</v>
      </c>
      <c r="B1047" s="1">
        <v>45971</v>
      </c>
      <c r="C1047" t="s">
        <v>565</v>
      </c>
      <c r="D1047" t="s">
        <v>14</v>
      </c>
      <c r="E1047" t="s">
        <v>15</v>
      </c>
      <c r="F1047" t="s">
        <v>16</v>
      </c>
      <c r="G1047" t="s">
        <v>17</v>
      </c>
      <c r="H1047">
        <v>1</v>
      </c>
      <c r="I1047" s="12">
        <v>15.33</v>
      </c>
      <c r="J1047" s="12">
        <v>0</v>
      </c>
      <c r="K1047" s="9">
        <v>15.33</v>
      </c>
      <c r="L1047" s="9">
        <v>3.68</v>
      </c>
      <c r="M1047" s="9">
        <f t="shared" si="16"/>
        <v>0</v>
      </c>
    </row>
    <row r="1048" spans="1:13" x14ac:dyDescent="0.3">
      <c r="A1048" t="s">
        <v>1375</v>
      </c>
      <c r="B1048" s="1">
        <v>45972</v>
      </c>
      <c r="C1048" t="s">
        <v>445</v>
      </c>
      <c r="D1048" t="s">
        <v>40</v>
      </c>
      <c r="E1048" t="s">
        <v>56</v>
      </c>
      <c r="F1048" t="s">
        <v>21</v>
      </c>
      <c r="G1048" t="s">
        <v>32</v>
      </c>
      <c r="H1048">
        <v>2</v>
      </c>
      <c r="I1048" s="12">
        <v>313.76</v>
      </c>
      <c r="J1048" s="12">
        <v>0</v>
      </c>
      <c r="K1048" s="9">
        <v>627.52</v>
      </c>
      <c r="L1048" s="9">
        <v>81.19</v>
      </c>
      <c r="M1048" s="9">
        <f t="shared" si="16"/>
        <v>0</v>
      </c>
    </row>
    <row r="1049" spans="1:13" x14ac:dyDescent="0.3">
      <c r="A1049" t="s">
        <v>1376</v>
      </c>
      <c r="B1049" s="1">
        <v>45972</v>
      </c>
      <c r="C1049" t="s">
        <v>1377</v>
      </c>
      <c r="D1049" t="s">
        <v>40</v>
      </c>
      <c r="E1049" t="s">
        <v>26</v>
      </c>
      <c r="F1049" t="s">
        <v>27</v>
      </c>
      <c r="G1049" t="s">
        <v>22</v>
      </c>
      <c r="H1049">
        <v>2</v>
      </c>
      <c r="I1049" s="12">
        <v>72.13</v>
      </c>
      <c r="J1049" s="12">
        <v>0.05</v>
      </c>
      <c r="K1049" s="9">
        <v>137.05000000000001</v>
      </c>
      <c r="L1049" s="9">
        <v>23.03</v>
      </c>
      <c r="M1049" s="9">
        <f t="shared" si="16"/>
        <v>7.2130000000000001</v>
      </c>
    </row>
    <row r="1050" spans="1:13" x14ac:dyDescent="0.3">
      <c r="A1050" t="s">
        <v>1378</v>
      </c>
      <c r="B1050" s="1">
        <v>45973</v>
      </c>
      <c r="C1050" t="s">
        <v>248</v>
      </c>
      <c r="D1050" t="s">
        <v>40</v>
      </c>
      <c r="E1050" t="s">
        <v>65</v>
      </c>
      <c r="F1050" t="s">
        <v>16</v>
      </c>
      <c r="G1050" t="s">
        <v>32</v>
      </c>
      <c r="H1050">
        <v>1</v>
      </c>
      <c r="I1050" s="12">
        <v>17.63</v>
      </c>
      <c r="J1050" s="12">
        <v>0</v>
      </c>
      <c r="K1050" s="9">
        <v>17.63</v>
      </c>
      <c r="L1050" s="9">
        <v>1.59</v>
      </c>
      <c r="M1050" s="9">
        <f t="shared" si="16"/>
        <v>0</v>
      </c>
    </row>
    <row r="1051" spans="1:13" x14ac:dyDescent="0.3">
      <c r="A1051" t="s">
        <v>1379</v>
      </c>
      <c r="B1051" s="1">
        <v>45973</v>
      </c>
      <c r="C1051" t="s">
        <v>481</v>
      </c>
      <c r="D1051" t="s">
        <v>25</v>
      </c>
      <c r="E1051" t="s">
        <v>41</v>
      </c>
      <c r="F1051" t="s">
        <v>42</v>
      </c>
      <c r="G1051" t="s">
        <v>32</v>
      </c>
      <c r="H1051">
        <v>2</v>
      </c>
      <c r="I1051" s="12">
        <v>56.02</v>
      </c>
      <c r="J1051" s="12">
        <v>0.05</v>
      </c>
      <c r="K1051" s="9">
        <v>106.43</v>
      </c>
      <c r="L1051" s="9">
        <v>24.99</v>
      </c>
      <c r="M1051" s="9">
        <f t="shared" si="16"/>
        <v>5.6020000000000003</v>
      </c>
    </row>
    <row r="1052" spans="1:13" x14ac:dyDescent="0.3">
      <c r="A1052" t="s">
        <v>1380</v>
      </c>
      <c r="B1052" s="1">
        <v>45973</v>
      </c>
      <c r="C1052" t="s">
        <v>569</v>
      </c>
      <c r="D1052" t="s">
        <v>14</v>
      </c>
      <c r="E1052" t="s">
        <v>54</v>
      </c>
      <c r="F1052" t="s">
        <v>27</v>
      </c>
      <c r="G1052" t="s">
        <v>17</v>
      </c>
      <c r="H1052">
        <v>2</v>
      </c>
      <c r="I1052" s="12">
        <v>30.47</v>
      </c>
      <c r="J1052" s="12">
        <v>0</v>
      </c>
      <c r="K1052" s="9">
        <v>60.93</v>
      </c>
      <c r="L1052" s="9">
        <v>15.91</v>
      </c>
      <c r="M1052" s="9">
        <f t="shared" si="16"/>
        <v>0</v>
      </c>
    </row>
    <row r="1053" spans="1:13" x14ac:dyDescent="0.3">
      <c r="A1053" t="s">
        <v>1381</v>
      </c>
      <c r="B1053" s="1">
        <v>45973</v>
      </c>
      <c r="C1053" t="s">
        <v>141</v>
      </c>
      <c r="D1053" t="s">
        <v>14</v>
      </c>
      <c r="E1053" t="s">
        <v>15</v>
      </c>
      <c r="F1053" t="s">
        <v>16</v>
      </c>
      <c r="G1053" t="s">
        <v>17</v>
      </c>
      <c r="H1053">
        <v>4</v>
      </c>
      <c r="I1053" s="12">
        <v>14.5</v>
      </c>
      <c r="J1053" s="12">
        <v>0.05</v>
      </c>
      <c r="K1053" s="9">
        <v>55.1</v>
      </c>
      <c r="L1053" s="9">
        <v>8.2100000000000009</v>
      </c>
      <c r="M1053" s="9">
        <f t="shared" si="16"/>
        <v>2.9000000000000004</v>
      </c>
    </row>
    <row r="1054" spans="1:13" x14ac:dyDescent="0.3">
      <c r="A1054" t="s">
        <v>1382</v>
      </c>
      <c r="B1054" s="1">
        <v>45974</v>
      </c>
      <c r="C1054" t="s">
        <v>97</v>
      </c>
      <c r="D1054" t="s">
        <v>40</v>
      </c>
      <c r="E1054" t="s">
        <v>56</v>
      </c>
      <c r="F1054" t="s">
        <v>21</v>
      </c>
      <c r="G1054" t="s">
        <v>17</v>
      </c>
      <c r="H1054">
        <v>1</v>
      </c>
      <c r="I1054" s="12">
        <v>310.52999999999997</v>
      </c>
      <c r="J1054" s="12">
        <v>0.05</v>
      </c>
      <c r="K1054" s="9">
        <v>295</v>
      </c>
      <c r="L1054" s="9">
        <v>65.05</v>
      </c>
      <c r="M1054" s="9">
        <f t="shared" si="16"/>
        <v>15.526499999999999</v>
      </c>
    </row>
    <row r="1055" spans="1:13" x14ac:dyDescent="0.3">
      <c r="A1055" t="s">
        <v>1383</v>
      </c>
      <c r="B1055" s="1">
        <v>45974</v>
      </c>
      <c r="C1055" t="s">
        <v>82</v>
      </c>
      <c r="D1055" t="s">
        <v>25</v>
      </c>
      <c r="E1055" t="s">
        <v>37</v>
      </c>
      <c r="F1055" t="s">
        <v>27</v>
      </c>
      <c r="G1055" t="s">
        <v>28</v>
      </c>
      <c r="H1055">
        <v>3</v>
      </c>
      <c r="I1055" s="12">
        <v>212.12</v>
      </c>
      <c r="J1055" s="12">
        <v>0.15</v>
      </c>
      <c r="K1055" s="9">
        <v>540.91</v>
      </c>
      <c r="L1055" s="9">
        <v>116.75</v>
      </c>
      <c r="M1055" s="9">
        <f t="shared" si="16"/>
        <v>95.453999999999994</v>
      </c>
    </row>
    <row r="1056" spans="1:13" x14ac:dyDescent="0.3">
      <c r="A1056" t="s">
        <v>1384</v>
      </c>
      <c r="B1056" s="1">
        <v>45975</v>
      </c>
      <c r="C1056" t="s">
        <v>105</v>
      </c>
      <c r="D1056" t="s">
        <v>40</v>
      </c>
      <c r="E1056" t="s">
        <v>15</v>
      </c>
      <c r="F1056" t="s">
        <v>16</v>
      </c>
      <c r="G1056" t="s">
        <v>28</v>
      </c>
      <c r="H1056">
        <v>3</v>
      </c>
      <c r="I1056" s="12">
        <v>14.38</v>
      </c>
      <c r="J1056" s="12">
        <v>0.1</v>
      </c>
      <c r="K1056" s="9">
        <v>38.840000000000003</v>
      </c>
      <c r="L1056" s="9">
        <v>9.6199999999999992</v>
      </c>
      <c r="M1056" s="9">
        <f t="shared" si="16"/>
        <v>4.3140000000000001</v>
      </c>
    </row>
    <row r="1057" spans="1:13" x14ac:dyDescent="0.3">
      <c r="A1057" t="s">
        <v>1385</v>
      </c>
      <c r="B1057" s="1">
        <v>45975</v>
      </c>
      <c r="C1057" t="s">
        <v>736</v>
      </c>
      <c r="D1057" t="s">
        <v>40</v>
      </c>
      <c r="E1057" t="s">
        <v>20</v>
      </c>
      <c r="F1057" t="s">
        <v>21</v>
      </c>
      <c r="G1057" t="s">
        <v>28</v>
      </c>
      <c r="H1057">
        <v>1</v>
      </c>
      <c r="I1057" s="12">
        <v>187.97</v>
      </c>
      <c r="J1057" s="12">
        <v>0.05</v>
      </c>
      <c r="K1057" s="9">
        <v>178.57</v>
      </c>
      <c r="L1057" s="9">
        <v>45.38</v>
      </c>
      <c r="M1057" s="9">
        <f t="shared" si="16"/>
        <v>9.3985000000000003</v>
      </c>
    </row>
    <row r="1058" spans="1:13" x14ac:dyDescent="0.3">
      <c r="A1058" t="s">
        <v>1386</v>
      </c>
      <c r="B1058" s="1">
        <v>45975</v>
      </c>
      <c r="C1058" t="s">
        <v>506</v>
      </c>
      <c r="D1058" t="s">
        <v>14</v>
      </c>
      <c r="E1058" t="s">
        <v>31</v>
      </c>
      <c r="F1058" t="s">
        <v>21</v>
      </c>
      <c r="G1058" t="s">
        <v>28</v>
      </c>
      <c r="H1058">
        <v>2</v>
      </c>
      <c r="I1058" s="12">
        <v>38.15</v>
      </c>
      <c r="J1058" s="12">
        <v>0.05</v>
      </c>
      <c r="K1058" s="9">
        <v>72.48</v>
      </c>
      <c r="L1058" s="9">
        <v>10.14</v>
      </c>
      <c r="M1058" s="9">
        <f t="shared" si="16"/>
        <v>3.8149999999999999</v>
      </c>
    </row>
    <row r="1059" spans="1:13" x14ac:dyDescent="0.3">
      <c r="A1059" t="s">
        <v>1387</v>
      </c>
      <c r="B1059" s="1">
        <v>45975</v>
      </c>
      <c r="C1059" t="s">
        <v>172</v>
      </c>
      <c r="D1059" t="s">
        <v>14</v>
      </c>
      <c r="E1059" t="s">
        <v>37</v>
      </c>
      <c r="F1059" t="s">
        <v>27</v>
      </c>
      <c r="G1059" t="s">
        <v>17</v>
      </c>
      <c r="H1059">
        <v>1</v>
      </c>
      <c r="I1059" s="12">
        <v>208.8</v>
      </c>
      <c r="J1059" s="12">
        <v>0.1</v>
      </c>
      <c r="K1059" s="9">
        <v>187.92</v>
      </c>
      <c r="L1059" s="9">
        <v>17.100000000000001</v>
      </c>
      <c r="M1059" s="9">
        <f t="shared" si="16"/>
        <v>20.880000000000003</v>
      </c>
    </row>
    <row r="1060" spans="1:13" x14ac:dyDescent="0.3">
      <c r="A1060" t="s">
        <v>1388</v>
      </c>
      <c r="B1060" s="1">
        <v>45975</v>
      </c>
      <c r="C1060" t="s">
        <v>1028</v>
      </c>
      <c r="D1060" t="s">
        <v>14</v>
      </c>
      <c r="E1060" t="s">
        <v>41</v>
      </c>
      <c r="F1060" t="s">
        <v>42</v>
      </c>
      <c r="G1060" t="s">
        <v>28</v>
      </c>
      <c r="H1060">
        <v>3</v>
      </c>
      <c r="I1060" s="12">
        <v>51.49</v>
      </c>
      <c r="J1060" s="12">
        <v>0.15</v>
      </c>
      <c r="K1060" s="9">
        <v>131.31</v>
      </c>
      <c r="L1060" s="9">
        <v>7.11</v>
      </c>
      <c r="M1060" s="9">
        <f t="shared" si="16"/>
        <v>23.170500000000001</v>
      </c>
    </row>
    <row r="1061" spans="1:13" x14ac:dyDescent="0.3">
      <c r="A1061" t="s">
        <v>1389</v>
      </c>
      <c r="B1061" s="1">
        <v>45975</v>
      </c>
      <c r="C1061" t="s">
        <v>315</v>
      </c>
      <c r="D1061" t="s">
        <v>14</v>
      </c>
      <c r="E1061" t="s">
        <v>56</v>
      </c>
      <c r="F1061" t="s">
        <v>21</v>
      </c>
      <c r="G1061" t="s">
        <v>28</v>
      </c>
      <c r="H1061">
        <v>2</v>
      </c>
      <c r="I1061" s="12">
        <v>336.13</v>
      </c>
      <c r="J1061" s="12">
        <v>0.05</v>
      </c>
      <c r="K1061" s="9">
        <v>638.66</v>
      </c>
      <c r="L1061" s="9">
        <v>65.319999999999993</v>
      </c>
      <c r="M1061" s="9">
        <f t="shared" si="16"/>
        <v>33.613</v>
      </c>
    </row>
    <row r="1062" spans="1:13" x14ac:dyDescent="0.3">
      <c r="A1062" t="s">
        <v>1390</v>
      </c>
      <c r="B1062" s="1">
        <v>45976</v>
      </c>
      <c r="C1062" t="s">
        <v>941</v>
      </c>
      <c r="D1062" t="s">
        <v>25</v>
      </c>
      <c r="E1062" t="s">
        <v>26</v>
      </c>
      <c r="F1062" t="s">
        <v>27</v>
      </c>
      <c r="G1062" t="s">
        <v>17</v>
      </c>
      <c r="H1062">
        <v>1</v>
      </c>
      <c r="I1062" s="12">
        <v>81.61</v>
      </c>
      <c r="J1062" s="12">
        <v>0.1</v>
      </c>
      <c r="K1062" s="9">
        <v>73.45</v>
      </c>
      <c r="L1062" s="9">
        <v>13.11</v>
      </c>
      <c r="M1062" s="9">
        <f t="shared" si="16"/>
        <v>8.1609999999999996</v>
      </c>
    </row>
    <row r="1063" spans="1:13" x14ac:dyDescent="0.3">
      <c r="A1063" t="s">
        <v>1391</v>
      </c>
      <c r="B1063" s="1">
        <v>45976</v>
      </c>
      <c r="C1063" t="s">
        <v>114</v>
      </c>
      <c r="D1063" t="s">
        <v>14</v>
      </c>
      <c r="E1063" t="s">
        <v>26</v>
      </c>
      <c r="F1063" t="s">
        <v>27</v>
      </c>
      <c r="G1063" t="s">
        <v>17</v>
      </c>
      <c r="H1063">
        <v>1</v>
      </c>
      <c r="I1063" s="12">
        <v>80.040000000000006</v>
      </c>
      <c r="J1063" s="12">
        <v>0.2</v>
      </c>
      <c r="K1063" s="9">
        <v>64.03</v>
      </c>
      <c r="L1063" s="9">
        <v>11.33</v>
      </c>
      <c r="M1063" s="9">
        <f t="shared" si="16"/>
        <v>16.008000000000003</v>
      </c>
    </row>
    <row r="1064" spans="1:13" x14ac:dyDescent="0.3">
      <c r="A1064" t="s">
        <v>1392</v>
      </c>
      <c r="B1064" s="1">
        <v>45977</v>
      </c>
      <c r="C1064" t="s">
        <v>941</v>
      </c>
      <c r="D1064" t="s">
        <v>40</v>
      </c>
      <c r="E1064" t="s">
        <v>54</v>
      </c>
      <c r="F1064" t="s">
        <v>27</v>
      </c>
      <c r="G1064" t="s">
        <v>28</v>
      </c>
      <c r="H1064">
        <v>1</v>
      </c>
      <c r="I1064" s="12">
        <v>26.83</v>
      </c>
      <c r="J1064" s="12">
        <v>0.15</v>
      </c>
      <c r="K1064" s="9">
        <v>22.81</v>
      </c>
      <c r="L1064" s="9">
        <v>3.83</v>
      </c>
      <c r="M1064" s="9">
        <f t="shared" si="16"/>
        <v>4.0244999999999997</v>
      </c>
    </row>
    <row r="1065" spans="1:13" x14ac:dyDescent="0.3">
      <c r="A1065" t="s">
        <v>1393</v>
      </c>
      <c r="B1065" s="1">
        <v>45977</v>
      </c>
      <c r="C1065" t="s">
        <v>287</v>
      </c>
      <c r="D1065" t="s">
        <v>40</v>
      </c>
      <c r="E1065" t="s">
        <v>31</v>
      </c>
      <c r="F1065" t="s">
        <v>21</v>
      </c>
      <c r="G1065" t="s">
        <v>17</v>
      </c>
      <c r="H1065">
        <v>1</v>
      </c>
      <c r="I1065" s="12">
        <v>39.32</v>
      </c>
      <c r="J1065" s="12">
        <v>0</v>
      </c>
      <c r="K1065" s="9">
        <v>39.32</v>
      </c>
      <c r="L1065" s="9">
        <v>5.21</v>
      </c>
      <c r="M1065" s="9">
        <f t="shared" si="16"/>
        <v>0</v>
      </c>
    </row>
    <row r="1066" spans="1:13" x14ac:dyDescent="0.3">
      <c r="A1066" t="s">
        <v>1394</v>
      </c>
      <c r="B1066" s="1">
        <v>45977</v>
      </c>
      <c r="C1066" t="s">
        <v>801</v>
      </c>
      <c r="D1066" t="s">
        <v>14</v>
      </c>
      <c r="E1066" t="s">
        <v>26</v>
      </c>
      <c r="F1066" t="s">
        <v>27</v>
      </c>
      <c r="G1066" t="s">
        <v>28</v>
      </c>
      <c r="H1066">
        <v>4</v>
      </c>
      <c r="I1066" s="12">
        <v>77.66</v>
      </c>
      <c r="J1066" s="12">
        <v>0.1</v>
      </c>
      <c r="K1066" s="9">
        <v>279.57</v>
      </c>
      <c r="L1066" s="9">
        <v>51.79</v>
      </c>
      <c r="M1066" s="9">
        <f t="shared" si="16"/>
        <v>31.064</v>
      </c>
    </row>
    <row r="1067" spans="1:13" x14ac:dyDescent="0.3">
      <c r="A1067" t="s">
        <v>1395</v>
      </c>
      <c r="B1067" s="1">
        <v>45977</v>
      </c>
      <c r="C1067" t="s">
        <v>275</v>
      </c>
      <c r="D1067" t="s">
        <v>14</v>
      </c>
      <c r="E1067" t="s">
        <v>54</v>
      </c>
      <c r="F1067" t="s">
        <v>27</v>
      </c>
      <c r="G1067" t="s">
        <v>32</v>
      </c>
      <c r="H1067">
        <v>1</v>
      </c>
      <c r="I1067" s="12">
        <v>30.26</v>
      </c>
      <c r="J1067" s="12">
        <v>0.1</v>
      </c>
      <c r="K1067" s="9">
        <v>27.23</v>
      </c>
      <c r="L1067" s="9">
        <v>6.74</v>
      </c>
      <c r="M1067" s="9">
        <f t="shared" si="16"/>
        <v>3.0260000000000002</v>
      </c>
    </row>
    <row r="1068" spans="1:13" x14ac:dyDescent="0.3">
      <c r="A1068" t="s">
        <v>1396</v>
      </c>
      <c r="B1068" s="1">
        <v>45977</v>
      </c>
      <c r="C1068" t="s">
        <v>326</v>
      </c>
      <c r="D1068" t="s">
        <v>40</v>
      </c>
      <c r="E1068" t="s">
        <v>15</v>
      </c>
      <c r="F1068" t="s">
        <v>16</v>
      </c>
      <c r="G1068" t="s">
        <v>28</v>
      </c>
      <c r="H1068">
        <v>3</v>
      </c>
      <c r="I1068" s="12">
        <v>13.12</v>
      </c>
      <c r="J1068" s="12">
        <v>0.15</v>
      </c>
      <c r="K1068" s="9">
        <v>33.46</v>
      </c>
      <c r="L1068" s="9">
        <v>3.02</v>
      </c>
      <c r="M1068" s="9">
        <f t="shared" si="16"/>
        <v>5.9039999999999999</v>
      </c>
    </row>
    <row r="1069" spans="1:13" x14ac:dyDescent="0.3">
      <c r="A1069" t="s">
        <v>1397</v>
      </c>
      <c r="B1069" s="1">
        <v>45978</v>
      </c>
      <c r="C1069" t="s">
        <v>1111</v>
      </c>
      <c r="D1069" t="s">
        <v>14</v>
      </c>
      <c r="E1069" t="s">
        <v>20</v>
      </c>
      <c r="F1069" t="s">
        <v>21</v>
      </c>
      <c r="G1069" t="s">
        <v>28</v>
      </c>
      <c r="H1069">
        <v>2</v>
      </c>
      <c r="I1069" s="12">
        <v>164.9</v>
      </c>
      <c r="J1069" s="12">
        <v>0</v>
      </c>
      <c r="K1069" s="9">
        <v>329.81</v>
      </c>
      <c r="L1069" s="9">
        <v>70.73</v>
      </c>
      <c r="M1069" s="9">
        <f t="shared" si="16"/>
        <v>0</v>
      </c>
    </row>
    <row r="1070" spans="1:13" x14ac:dyDescent="0.3">
      <c r="A1070" t="s">
        <v>1398</v>
      </c>
      <c r="B1070" s="1">
        <v>45978</v>
      </c>
      <c r="C1070" t="s">
        <v>339</v>
      </c>
      <c r="D1070" t="s">
        <v>14</v>
      </c>
      <c r="E1070" t="s">
        <v>92</v>
      </c>
      <c r="F1070" t="s">
        <v>16</v>
      </c>
      <c r="G1070" t="s">
        <v>22</v>
      </c>
      <c r="H1070">
        <v>3</v>
      </c>
      <c r="I1070" s="12">
        <v>8.9600000000000009</v>
      </c>
      <c r="J1070" s="12">
        <v>0.15</v>
      </c>
      <c r="K1070" s="9">
        <v>22.85</v>
      </c>
      <c r="L1070" s="9">
        <v>2.73</v>
      </c>
      <c r="M1070" s="9">
        <f t="shared" si="16"/>
        <v>4.032</v>
      </c>
    </row>
    <row r="1071" spans="1:13" x14ac:dyDescent="0.3">
      <c r="A1071" t="s">
        <v>1399</v>
      </c>
      <c r="B1071" s="1">
        <v>45978</v>
      </c>
      <c r="C1071" t="s">
        <v>339</v>
      </c>
      <c r="D1071" t="s">
        <v>14</v>
      </c>
      <c r="E1071" t="s">
        <v>37</v>
      </c>
      <c r="F1071" t="s">
        <v>27</v>
      </c>
      <c r="G1071" t="s">
        <v>17</v>
      </c>
      <c r="H1071">
        <v>1</v>
      </c>
      <c r="I1071" s="12">
        <v>225</v>
      </c>
      <c r="J1071" s="12">
        <v>0</v>
      </c>
      <c r="K1071" s="9">
        <v>225</v>
      </c>
      <c r="L1071" s="9">
        <v>43.89</v>
      </c>
      <c r="M1071" s="9">
        <f t="shared" si="16"/>
        <v>0</v>
      </c>
    </row>
    <row r="1072" spans="1:13" x14ac:dyDescent="0.3">
      <c r="A1072" t="s">
        <v>1400</v>
      </c>
      <c r="B1072" s="1">
        <v>45979</v>
      </c>
      <c r="C1072" t="s">
        <v>573</v>
      </c>
      <c r="D1072" t="s">
        <v>40</v>
      </c>
      <c r="E1072" t="s">
        <v>37</v>
      </c>
      <c r="F1072" t="s">
        <v>27</v>
      </c>
      <c r="G1072" t="s">
        <v>32</v>
      </c>
      <c r="H1072">
        <v>1</v>
      </c>
      <c r="I1072" s="12">
        <v>218.51</v>
      </c>
      <c r="J1072" s="12">
        <v>0.05</v>
      </c>
      <c r="K1072" s="9">
        <v>207.59</v>
      </c>
      <c r="L1072" s="9">
        <v>17.45</v>
      </c>
      <c r="M1072" s="9">
        <f t="shared" si="16"/>
        <v>10.9255</v>
      </c>
    </row>
    <row r="1073" spans="1:13" x14ac:dyDescent="0.3">
      <c r="A1073" t="s">
        <v>1401</v>
      </c>
      <c r="B1073" s="1">
        <v>45979</v>
      </c>
      <c r="C1073" t="s">
        <v>973</v>
      </c>
      <c r="D1073" t="s">
        <v>40</v>
      </c>
      <c r="E1073" t="s">
        <v>54</v>
      </c>
      <c r="F1073" t="s">
        <v>27</v>
      </c>
      <c r="G1073" t="s">
        <v>22</v>
      </c>
      <c r="H1073">
        <v>1</v>
      </c>
      <c r="I1073" s="12">
        <v>27.45</v>
      </c>
      <c r="J1073" s="12">
        <v>0.15</v>
      </c>
      <c r="K1073" s="9">
        <v>23.33</v>
      </c>
      <c r="L1073" s="9">
        <v>2.63</v>
      </c>
      <c r="M1073" s="9">
        <f t="shared" si="16"/>
        <v>4.1174999999999997</v>
      </c>
    </row>
    <row r="1074" spans="1:13" x14ac:dyDescent="0.3">
      <c r="A1074" t="s">
        <v>1402</v>
      </c>
      <c r="B1074" s="1">
        <v>45979</v>
      </c>
      <c r="C1074" t="s">
        <v>352</v>
      </c>
      <c r="D1074" t="s">
        <v>40</v>
      </c>
      <c r="E1074" t="s">
        <v>92</v>
      </c>
      <c r="F1074" t="s">
        <v>16</v>
      </c>
      <c r="G1074" t="s">
        <v>22</v>
      </c>
      <c r="H1074">
        <v>1</v>
      </c>
      <c r="I1074" s="12">
        <v>9.4600000000000009</v>
      </c>
      <c r="J1074" s="12">
        <v>0.15</v>
      </c>
      <c r="K1074" s="9">
        <v>8.0399999999999991</v>
      </c>
      <c r="L1074" s="9">
        <v>1.48</v>
      </c>
      <c r="M1074" s="9">
        <f t="shared" si="16"/>
        <v>1.419</v>
      </c>
    </row>
    <row r="1075" spans="1:13" x14ac:dyDescent="0.3">
      <c r="A1075" t="s">
        <v>1403</v>
      </c>
      <c r="B1075" s="1">
        <v>45979</v>
      </c>
      <c r="C1075" t="s">
        <v>651</v>
      </c>
      <c r="D1075" t="s">
        <v>14</v>
      </c>
      <c r="E1075" t="s">
        <v>41</v>
      </c>
      <c r="F1075" t="s">
        <v>42</v>
      </c>
      <c r="G1075" t="s">
        <v>17</v>
      </c>
      <c r="H1075">
        <v>1</v>
      </c>
      <c r="I1075" s="12">
        <v>52.34</v>
      </c>
      <c r="J1075" s="12">
        <v>0</v>
      </c>
      <c r="K1075" s="9">
        <v>52.34</v>
      </c>
      <c r="L1075" s="9">
        <v>4.4800000000000004</v>
      </c>
      <c r="M1075" s="9">
        <f t="shared" si="16"/>
        <v>0</v>
      </c>
    </row>
    <row r="1076" spans="1:13" x14ac:dyDescent="0.3">
      <c r="A1076" t="s">
        <v>1404</v>
      </c>
      <c r="B1076" s="1">
        <v>45980</v>
      </c>
      <c r="C1076" t="s">
        <v>534</v>
      </c>
      <c r="D1076" t="s">
        <v>40</v>
      </c>
      <c r="E1076" t="s">
        <v>26</v>
      </c>
      <c r="F1076" t="s">
        <v>27</v>
      </c>
      <c r="G1076" t="s">
        <v>28</v>
      </c>
      <c r="H1076">
        <v>1</v>
      </c>
      <c r="I1076" s="12">
        <v>71.28</v>
      </c>
      <c r="J1076" s="12">
        <v>0</v>
      </c>
      <c r="K1076" s="9">
        <v>71.28</v>
      </c>
      <c r="L1076" s="9">
        <v>18.829999999999998</v>
      </c>
      <c r="M1076" s="9">
        <f t="shared" si="16"/>
        <v>0</v>
      </c>
    </row>
    <row r="1077" spans="1:13" x14ac:dyDescent="0.3">
      <c r="A1077" t="s">
        <v>1405</v>
      </c>
      <c r="B1077" s="1">
        <v>45980</v>
      </c>
      <c r="C1077" t="s">
        <v>82</v>
      </c>
      <c r="D1077" t="s">
        <v>40</v>
      </c>
      <c r="E1077" t="s">
        <v>56</v>
      </c>
      <c r="F1077" t="s">
        <v>21</v>
      </c>
      <c r="G1077" t="s">
        <v>17</v>
      </c>
      <c r="H1077">
        <v>3</v>
      </c>
      <c r="I1077" s="12">
        <v>317.64999999999998</v>
      </c>
      <c r="J1077" s="12">
        <v>0.1</v>
      </c>
      <c r="K1077" s="9">
        <v>857.66</v>
      </c>
      <c r="L1077" s="9">
        <v>94.56</v>
      </c>
      <c r="M1077" s="9">
        <f t="shared" si="16"/>
        <v>95.295000000000002</v>
      </c>
    </row>
    <row r="1078" spans="1:13" x14ac:dyDescent="0.3">
      <c r="A1078" t="s">
        <v>1406</v>
      </c>
      <c r="B1078" s="1">
        <v>45980</v>
      </c>
      <c r="C1078" t="s">
        <v>343</v>
      </c>
      <c r="D1078" t="s">
        <v>14</v>
      </c>
      <c r="E1078" t="s">
        <v>110</v>
      </c>
      <c r="F1078" t="s">
        <v>42</v>
      </c>
      <c r="G1078" t="s">
        <v>17</v>
      </c>
      <c r="H1078">
        <v>5</v>
      </c>
      <c r="I1078" s="12">
        <v>21.62</v>
      </c>
      <c r="J1078" s="12">
        <v>0</v>
      </c>
      <c r="K1078" s="9">
        <v>108.08</v>
      </c>
      <c r="L1078" s="9">
        <v>10.82</v>
      </c>
      <c r="M1078" s="9">
        <f t="shared" si="16"/>
        <v>0</v>
      </c>
    </row>
    <row r="1079" spans="1:13" x14ac:dyDescent="0.3">
      <c r="A1079" t="s">
        <v>1407</v>
      </c>
      <c r="B1079" s="1">
        <v>45980</v>
      </c>
      <c r="C1079" t="s">
        <v>436</v>
      </c>
      <c r="D1079" t="s">
        <v>40</v>
      </c>
      <c r="E1079" t="s">
        <v>15</v>
      </c>
      <c r="F1079" t="s">
        <v>16</v>
      </c>
      <c r="G1079" t="s">
        <v>28</v>
      </c>
      <c r="H1079">
        <v>1</v>
      </c>
      <c r="I1079" s="12">
        <v>13.19</v>
      </c>
      <c r="J1079" s="12">
        <v>0</v>
      </c>
      <c r="K1079" s="9">
        <v>13.19</v>
      </c>
      <c r="L1079" s="9">
        <v>2.81</v>
      </c>
      <c r="M1079" s="9">
        <f t="shared" si="16"/>
        <v>0</v>
      </c>
    </row>
    <row r="1080" spans="1:13" x14ac:dyDescent="0.3">
      <c r="A1080" t="s">
        <v>1408</v>
      </c>
      <c r="B1080" s="1">
        <v>45981</v>
      </c>
      <c r="C1080" t="s">
        <v>547</v>
      </c>
      <c r="D1080" t="s">
        <v>40</v>
      </c>
      <c r="E1080" t="s">
        <v>41</v>
      </c>
      <c r="F1080" t="s">
        <v>42</v>
      </c>
      <c r="G1080" t="s">
        <v>32</v>
      </c>
      <c r="H1080">
        <v>2</v>
      </c>
      <c r="I1080" s="12">
        <v>52.36</v>
      </c>
      <c r="J1080" s="12">
        <v>0.1</v>
      </c>
      <c r="K1080" s="9">
        <v>94.25</v>
      </c>
      <c r="L1080" s="9">
        <v>8.91</v>
      </c>
      <c r="M1080" s="9">
        <f t="shared" si="16"/>
        <v>10.472000000000001</v>
      </c>
    </row>
    <row r="1081" spans="1:13" x14ac:dyDescent="0.3">
      <c r="A1081" t="s">
        <v>1409</v>
      </c>
      <c r="B1081" s="1">
        <v>45981</v>
      </c>
      <c r="C1081" t="s">
        <v>248</v>
      </c>
      <c r="D1081" t="s">
        <v>14</v>
      </c>
      <c r="E1081" t="s">
        <v>51</v>
      </c>
      <c r="F1081" t="s">
        <v>27</v>
      </c>
      <c r="G1081" t="s">
        <v>17</v>
      </c>
      <c r="H1081">
        <v>1</v>
      </c>
      <c r="I1081" s="12">
        <v>997.72</v>
      </c>
      <c r="J1081" s="12">
        <v>0.05</v>
      </c>
      <c r="K1081" s="9">
        <v>947.84</v>
      </c>
      <c r="L1081" s="9">
        <v>81.61</v>
      </c>
      <c r="M1081" s="9">
        <f t="shared" si="16"/>
        <v>49.886000000000003</v>
      </c>
    </row>
    <row r="1082" spans="1:13" x14ac:dyDescent="0.3">
      <c r="A1082" t="s">
        <v>1410</v>
      </c>
      <c r="B1082" s="1">
        <v>45981</v>
      </c>
      <c r="C1082" t="s">
        <v>355</v>
      </c>
      <c r="D1082" t="s">
        <v>40</v>
      </c>
      <c r="E1082" t="s">
        <v>92</v>
      </c>
      <c r="F1082" t="s">
        <v>16</v>
      </c>
      <c r="G1082" t="s">
        <v>17</v>
      </c>
      <c r="H1082">
        <v>1</v>
      </c>
      <c r="I1082" s="12">
        <v>8.8800000000000008</v>
      </c>
      <c r="J1082" s="12">
        <v>0</v>
      </c>
      <c r="K1082" s="9">
        <v>8.8800000000000008</v>
      </c>
      <c r="L1082" s="9">
        <v>0.87</v>
      </c>
      <c r="M1082" s="9">
        <f t="shared" si="16"/>
        <v>0</v>
      </c>
    </row>
    <row r="1083" spans="1:13" x14ac:dyDescent="0.3">
      <c r="A1083" t="s">
        <v>1411</v>
      </c>
      <c r="B1083" s="1">
        <v>45981</v>
      </c>
      <c r="C1083" t="s">
        <v>36</v>
      </c>
      <c r="D1083" t="s">
        <v>40</v>
      </c>
      <c r="E1083" t="s">
        <v>51</v>
      </c>
      <c r="F1083" t="s">
        <v>27</v>
      </c>
      <c r="G1083" t="s">
        <v>32</v>
      </c>
      <c r="H1083">
        <v>2</v>
      </c>
      <c r="I1083" s="12">
        <v>900.64</v>
      </c>
      <c r="J1083" s="12">
        <v>0.1</v>
      </c>
      <c r="K1083" s="9">
        <v>1621.16</v>
      </c>
      <c r="L1083" s="9">
        <v>242.39</v>
      </c>
      <c r="M1083" s="9">
        <f t="shared" si="16"/>
        <v>180.12800000000001</v>
      </c>
    </row>
    <row r="1084" spans="1:13" x14ac:dyDescent="0.3">
      <c r="A1084" t="s">
        <v>1412</v>
      </c>
      <c r="B1084" s="1">
        <v>45981</v>
      </c>
      <c r="C1084" t="s">
        <v>217</v>
      </c>
      <c r="D1084" t="s">
        <v>14</v>
      </c>
      <c r="E1084" t="s">
        <v>51</v>
      </c>
      <c r="F1084" t="s">
        <v>27</v>
      </c>
      <c r="G1084" t="s">
        <v>32</v>
      </c>
      <c r="H1084">
        <v>4</v>
      </c>
      <c r="I1084" s="12">
        <v>951.13</v>
      </c>
      <c r="J1084" s="12">
        <v>0</v>
      </c>
      <c r="K1084" s="9">
        <v>3804.53</v>
      </c>
      <c r="L1084" s="9">
        <v>472.41</v>
      </c>
      <c r="M1084" s="9">
        <f t="shared" si="16"/>
        <v>0</v>
      </c>
    </row>
    <row r="1085" spans="1:13" x14ac:dyDescent="0.3">
      <c r="A1085" t="s">
        <v>1413</v>
      </c>
      <c r="B1085" s="1">
        <v>45981</v>
      </c>
      <c r="C1085" t="s">
        <v>1065</v>
      </c>
      <c r="D1085" t="s">
        <v>25</v>
      </c>
      <c r="E1085" t="s">
        <v>31</v>
      </c>
      <c r="F1085" t="s">
        <v>21</v>
      </c>
      <c r="G1085" t="s">
        <v>17</v>
      </c>
      <c r="H1085">
        <v>1</v>
      </c>
      <c r="I1085" s="12">
        <v>42.07</v>
      </c>
      <c r="J1085" s="12">
        <v>0.1</v>
      </c>
      <c r="K1085" s="9">
        <v>37.86</v>
      </c>
      <c r="L1085" s="9">
        <v>7.97</v>
      </c>
      <c r="M1085" s="9">
        <f t="shared" si="16"/>
        <v>4.2069999999999999</v>
      </c>
    </row>
    <row r="1086" spans="1:13" x14ac:dyDescent="0.3">
      <c r="A1086" t="s">
        <v>1414</v>
      </c>
      <c r="B1086" s="1">
        <v>45982</v>
      </c>
      <c r="C1086" t="s">
        <v>704</v>
      </c>
      <c r="D1086" t="s">
        <v>14</v>
      </c>
      <c r="E1086" t="s">
        <v>65</v>
      </c>
      <c r="F1086" t="s">
        <v>16</v>
      </c>
      <c r="G1086" t="s">
        <v>28</v>
      </c>
      <c r="H1086">
        <v>2</v>
      </c>
      <c r="I1086" s="12">
        <v>17.39</v>
      </c>
      <c r="J1086" s="12">
        <v>0</v>
      </c>
      <c r="K1086" s="9">
        <v>34.770000000000003</v>
      </c>
      <c r="L1086" s="9">
        <v>6.51</v>
      </c>
      <c r="M1086" s="9">
        <f t="shared" si="16"/>
        <v>0</v>
      </c>
    </row>
    <row r="1087" spans="1:13" x14ac:dyDescent="0.3">
      <c r="A1087" t="s">
        <v>1415</v>
      </c>
      <c r="B1087" s="1">
        <v>45982</v>
      </c>
      <c r="C1087" t="s">
        <v>118</v>
      </c>
      <c r="D1087" t="s">
        <v>14</v>
      </c>
      <c r="E1087" t="s">
        <v>31</v>
      </c>
      <c r="F1087" t="s">
        <v>21</v>
      </c>
      <c r="G1087" t="s">
        <v>22</v>
      </c>
      <c r="H1087">
        <v>2</v>
      </c>
      <c r="I1087" s="12">
        <v>40.49</v>
      </c>
      <c r="J1087" s="12">
        <v>0.15</v>
      </c>
      <c r="K1087" s="9">
        <v>68.83</v>
      </c>
      <c r="L1087" s="9">
        <v>12.89</v>
      </c>
      <c r="M1087" s="9">
        <f t="shared" si="16"/>
        <v>12.147</v>
      </c>
    </row>
    <row r="1088" spans="1:13" x14ac:dyDescent="0.3">
      <c r="A1088" t="s">
        <v>1416</v>
      </c>
      <c r="B1088" s="1">
        <v>45982</v>
      </c>
      <c r="C1088" t="s">
        <v>713</v>
      </c>
      <c r="D1088" t="s">
        <v>14</v>
      </c>
      <c r="E1088" t="s">
        <v>37</v>
      </c>
      <c r="F1088" t="s">
        <v>27</v>
      </c>
      <c r="G1088" t="s">
        <v>28</v>
      </c>
      <c r="H1088">
        <v>3</v>
      </c>
      <c r="I1088" s="12">
        <v>195.33</v>
      </c>
      <c r="J1088" s="12">
        <v>0.1</v>
      </c>
      <c r="K1088" s="9">
        <v>527.39</v>
      </c>
      <c r="L1088" s="9">
        <v>82.38</v>
      </c>
      <c r="M1088" s="9">
        <f t="shared" si="16"/>
        <v>58.599000000000004</v>
      </c>
    </row>
    <row r="1089" spans="1:13" x14ac:dyDescent="0.3">
      <c r="A1089" t="s">
        <v>1417</v>
      </c>
      <c r="B1089" s="1">
        <v>45983</v>
      </c>
      <c r="C1089" t="s">
        <v>343</v>
      </c>
      <c r="D1089" t="s">
        <v>14</v>
      </c>
      <c r="E1089" t="s">
        <v>65</v>
      </c>
      <c r="F1089" t="s">
        <v>16</v>
      </c>
      <c r="G1089" t="s">
        <v>17</v>
      </c>
      <c r="H1089">
        <v>2</v>
      </c>
      <c r="I1089" s="12">
        <v>16.61</v>
      </c>
      <c r="J1089" s="12">
        <v>0</v>
      </c>
      <c r="K1089" s="9">
        <v>33.229999999999997</v>
      </c>
      <c r="L1089" s="9">
        <v>6.72</v>
      </c>
      <c r="M1089" s="9">
        <f t="shared" si="16"/>
        <v>0</v>
      </c>
    </row>
    <row r="1090" spans="1:13" x14ac:dyDescent="0.3">
      <c r="A1090" t="s">
        <v>1418</v>
      </c>
      <c r="B1090" s="1">
        <v>45984</v>
      </c>
      <c r="C1090" t="s">
        <v>500</v>
      </c>
      <c r="D1090" t="s">
        <v>25</v>
      </c>
      <c r="E1090" t="s">
        <v>54</v>
      </c>
      <c r="F1090" t="s">
        <v>27</v>
      </c>
      <c r="G1090" t="s">
        <v>22</v>
      </c>
      <c r="H1090">
        <v>1</v>
      </c>
      <c r="I1090" s="12">
        <v>28.27</v>
      </c>
      <c r="J1090" s="12">
        <v>0.15</v>
      </c>
      <c r="K1090" s="9">
        <v>24.03</v>
      </c>
      <c r="L1090" s="9">
        <v>2.16</v>
      </c>
      <c r="M1090" s="9">
        <f t="shared" si="16"/>
        <v>4.2404999999999999</v>
      </c>
    </row>
    <row r="1091" spans="1:13" x14ac:dyDescent="0.3">
      <c r="A1091" t="s">
        <v>1419</v>
      </c>
      <c r="B1091" s="1">
        <v>45984</v>
      </c>
      <c r="C1091" t="s">
        <v>550</v>
      </c>
      <c r="D1091" t="s">
        <v>25</v>
      </c>
      <c r="E1091" t="s">
        <v>56</v>
      </c>
      <c r="F1091" t="s">
        <v>21</v>
      </c>
      <c r="G1091" t="s">
        <v>28</v>
      </c>
      <c r="H1091">
        <v>2</v>
      </c>
      <c r="I1091" s="12">
        <v>318.81</v>
      </c>
      <c r="J1091" s="12">
        <v>0.05</v>
      </c>
      <c r="K1091" s="9">
        <v>605.73</v>
      </c>
      <c r="L1091" s="9">
        <v>113.23</v>
      </c>
      <c r="M1091" s="9">
        <f t="shared" ref="M1091:M1154" si="17">H1091*I1091*J1091</f>
        <v>31.881</v>
      </c>
    </row>
    <row r="1092" spans="1:13" x14ac:dyDescent="0.3">
      <c r="A1092" t="s">
        <v>1420</v>
      </c>
      <c r="B1092" s="1">
        <v>45984</v>
      </c>
      <c r="C1092" t="s">
        <v>394</v>
      </c>
      <c r="D1092" t="s">
        <v>14</v>
      </c>
      <c r="E1092" t="s">
        <v>110</v>
      </c>
      <c r="F1092" t="s">
        <v>42</v>
      </c>
      <c r="G1092" t="s">
        <v>28</v>
      </c>
      <c r="H1092">
        <v>3</v>
      </c>
      <c r="I1092" s="12">
        <v>22.17</v>
      </c>
      <c r="J1092" s="12">
        <v>0.05</v>
      </c>
      <c r="K1092" s="9">
        <v>63.17</v>
      </c>
      <c r="L1092" s="9">
        <v>7.99</v>
      </c>
      <c r="M1092" s="9">
        <f t="shared" si="17"/>
        <v>3.3255000000000003</v>
      </c>
    </row>
    <row r="1093" spans="1:13" x14ac:dyDescent="0.3">
      <c r="A1093" t="s">
        <v>1421</v>
      </c>
      <c r="B1093" s="1">
        <v>45984</v>
      </c>
      <c r="C1093" t="s">
        <v>157</v>
      </c>
      <c r="D1093" t="s">
        <v>14</v>
      </c>
      <c r="E1093" t="s">
        <v>26</v>
      </c>
      <c r="F1093" t="s">
        <v>27</v>
      </c>
      <c r="G1093" t="s">
        <v>22</v>
      </c>
      <c r="H1093">
        <v>2</v>
      </c>
      <c r="I1093" s="12">
        <v>77.319999999999993</v>
      </c>
      <c r="J1093" s="12">
        <v>0.15</v>
      </c>
      <c r="K1093" s="9">
        <v>131.44999999999999</v>
      </c>
      <c r="L1093" s="9">
        <v>16.41</v>
      </c>
      <c r="M1093" s="9">
        <f t="shared" si="17"/>
        <v>23.195999999999998</v>
      </c>
    </row>
    <row r="1094" spans="1:13" x14ac:dyDescent="0.3">
      <c r="A1094" t="s">
        <v>1422</v>
      </c>
      <c r="B1094" s="1">
        <v>45984</v>
      </c>
      <c r="C1094" t="s">
        <v>1203</v>
      </c>
      <c r="D1094" t="s">
        <v>25</v>
      </c>
      <c r="E1094" t="s">
        <v>37</v>
      </c>
      <c r="F1094" t="s">
        <v>27</v>
      </c>
      <c r="G1094" t="s">
        <v>22</v>
      </c>
      <c r="H1094">
        <v>1</v>
      </c>
      <c r="I1094" s="12">
        <v>221.72</v>
      </c>
      <c r="J1094" s="12">
        <v>0.05</v>
      </c>
      <c r="K1094" s="9">
        <v>210.63</v>
      </c>
      <c r="L1094" s="9">
        <v>25.99</v>
      </c>
      <c r="M1094" s="9">
        <f t="shared" si="17"/>
        <v>11.086</v>
      </c>
    </row>
    <row r="1095" spans="1:13" x14ac:dyDescent="0.3">
      <c r="A1095" t="s">
        <v>1423</v>
      </c>
      <c r="B1095" s="1">
        <v>45985</v>
      </c>
      <c r="C1095" t="s">
        <v>219</v>
      </c>
      <c r="D1095" t="s">
        <v>25</v>
      </c>
      <c r="E1095" t="s">
        <v>54</v>
      </c>
      <c r="F1095" t="s">
        <v>27</v>
      </c>
      <c r="G1095" t="s">
        <v>17</v>
      </c>
      <c r="H1095">
        <v>2</v>
      </c>
      <c r="I1095" s="12">
        <v>25.74</v>
      </c>
      <c r="J1095" s="12">
        <v>0.05</v>
      </c>
      <c r="K1095" s="9">
        <v>48.91</v>
      </c>
      <c r="L1095" s="9">
        <v>4.59</v>
      </c>
      <c r="M1095" s="9">
        <f t="shared" si="17"/>
        <v>2.5739999999999998</v>
      </c>
    </row>
    <row r="1096" spans="1:13" x14ac:dyDescent="0.3">
      <c r="A1096" t="s">
        <v>1424</v>
      </c>
      <c r="B1096" s="1">
        <v>45986</v>
      </c>
      <c r="C1096" t="s">
        <v>1013</v>
      </c>
      <c r="D1096" t="s">
        <v>14</v>
      </c>
      <c r="E1096" t="s">
        <v>37</v>
      </c>
      <c r="F1096" t="s">
        <v>27</v>
      </c>
      <c r="G1096" t="s">
        <v>22</v>
      </c>
      <c r="H1096">
        <v>4</v>
      </c>
      <c r="I1096" s="12">
        <v>194.44</v>
      </c>
      <c r="J1096" s="12">
        <v>0</v>
      </c>
      <c r="K1096" s="9">
        <v>777.76</v>
      </c>
      <c r="L1096" s="9">
        <v>200.47</v>
      </c>
      <c r="M1096" s="9">
        <f t="shared" si="17"/>
        <v>0</v>
      </c>
    </row>
    <row r="1097" spans="1:13" x14ac:dyDescent="0.3">
      <c r="A1097" t="s">
        <v>1425</v>
      </c>
      <c r="B1097" s="1">
        <v>45987</v>
      </c>
      <c r="C1097" t="s">
        <v>651</v>
      </c>
      <c r="D1097" t="s">
        <v>14</v>
      </c>
      <c r="E1097" t="s">
        <v>54</v>
      </c>
      <c r="F1097" t="s">
        <v>27</v>
      </c>
      <c r="G1097" t="s">
        <v>32</v>
      </c>
      <c r="H1097">
        <v>2</v>
      </c>
      <c r="I1097" s="12">
        <v>26.59</v>
      </c>
      <c r="J1097" s="12">
        <v>0</v>
      </c>
      <c r="K1097" s="9">
        <v>53.19</v>
      </c>
      <c r="L1097" s="9">
        <v>8.59</v>
      </c>
      <c r="M1097" s="9">
        <f t="shared" si="17"/>
        <v>0</v>
      </c>
    </row>
    <row r="1098" spans="1:13" x14ac:dyDescent="0.3">
      <c r="A1098" t="s">
        <v>1426</v>
      </c>
      <c r="B1098" s="1">
        <v>45987</v>
      </c>
      <c r="C1098" t="s">
        <v>565</v>
      </c>
      <c r="D1098" t="s">
        <v>14</v>
      </c>
      <c r="E1098" t="s">
        <v>41</v>
      </c>
      <c r="F1098" t="s">
        <v>42</v>
      </c>
      <c r="G1098" t="s">
        <v>28</v>
      </c>
      <c r="H1098">
        <v>2</v>
      </c>
      <c r="I1098" s="12">
        <v>56.96</v>
      </c>
      <c r="J1098" s="12">
        <v>0.15</v>
      </c>
      <c r="K1098" s="9">
        <v>96.83</v>
      </c>
      <c r="L1098" s="9">
        <v>12.09</v>
      </c>
      <c r="M1098" s="9">
        <f t="shared" si="17"/>
        <v>17.088000000000001</v>
      </c>
    </row>
    <row r="1099" spans="1:13" x14ac:dyDescent="0.3">
      <c r="A1099" t="s">
        <v>1427</v>
      </c>
      <c r="B1099" s="1">
        <v>45987</v>
      </c>
      <c r="C1099" t="s">
        <v>91</v>
      </c>
      <c r="D1099" t="s">
        <v>25</v>
      </c>
      <c r="E1099" t="s">
        <v>56</v>
      </c>
      <c r="F1099" t="s">
        <v>21</v>
      </c>
      <c r="G1099" t="s">
        <v>17</v>
      </c>
      <c r="H1099">
        <v>1</v>
      </c>
      <c r="I1099" s="12">
        <v>345.85</v>
      </c>
      <c r="J1099" s="12">
        <v>0.1</v>
      </c>
      <c r="K1099" s="9">
        <v>311.26</v>
      </c>
      <c r="L1099" s="9">
        <v>43.75</v>
      </c>
      <c r="M1099" s="9">
        <f t="shared" si="17"/>
        <v>34.585000000000001</v>
      </c>
    </row>
    <row r="1100" spans="1:13" x14ac:dyDescent="0.3">
      <c r="A1100" t="s">
        <v>1428</v>
      </c>
      <c r="B1100" s="1">
        <v>45988</v>
      </c>
      <c r="C1100" t="s">
        <v>46</v>
      </c>
      <c r="D1100" t="s">
        <v>25</v>
      </c>
      <c r="E1100" t="s">
        <v>65</v>
      </c>
      <c r="F1100" t="s">
        <v>16</v>
      </c>
      <c r="G1100" t="s">
        <v>17</v>
      </c>
      <c r="H1100">
        <v>1</v>
      </c>
      <c r="I1100" s="12">
        <v>19.23</v>
      </c>
      <c r="J1100" s="12">
        <v>0.15</v>
      </c>
      <c r="K1100" s="9">
        <v>16.350000000000001</v>
      </c>
      <c r="L1100" s="9">
        <v>1.93</v>
      </c>
      <c r="M1100" s="9">
        <f t="shared" si="17"/>
        <v>2.8845000000000001</v>
      </c>
    </row>
    <row r="1101" spans="1:13" x14ac:dyDescent="0.3">
      <c r="A1101" t="s">
        <v>1429</v>
      </c>
      <c r="B1101" s="1">
        <v>45988</v>
      </c>
      <c r="C1101" t="s">
        <v>1337</v>
      </c>
      <c r="D1101" t="s">
        <v>25</v>
      </c>
      <c r="E1101" t="s">
        <v>51</v>
      </c>
      <c r="F1101" t="s">
        <v>27</v>
      </c>
      <c r="G1101" t="s">
        <v>28</v>
      </c>
      <c r="H1101">
        <v>1</v>
      </c>
      <c r="I1101" s="12">
        <v>1041.52</v>
      </c>
      <c r="J1101" s="12">
        <v>0.15</v>
      </c>
      <c r="K1101" s="9">
        <v>885.29</v>
      </c>
      <c r="L1101" s="9">
        <v>107.7</v>
      </c>
      <c r="M1101" s="9">
        <f t="shared" si="17"/>
        <v>156.22799999999998</v>
      </c>
    </row>
    <row r="1102" spans="1:13" x14ac:dyDescent="0.3">
      <c r="A1102" t="s">
        <v>1430</v>
      </c>
      <c r="B1102" s="1">
        <v>45989</v>
      </c>
      <c r="C1102" t="s">
        <v>541</v>
      </c>
      <c r="D1102" t="s">
        <v>14</v>
      </c>
      <c r="E1102" t="s">
        <v>20</v>
      </c>
      <c r="F1102" t="s">
        <v>21</v>
      </c>
      <c r="G1102" t="s">
        <v>22</v>
      </c>
      <c r="H1102">
        <v>1</v>
      </c>
      <c r="I1102" s="12">
        <v>184.4</v>
      </c>
      <c r="J1102" s="12">
        <v>0</v>
      </c>
      <c r="K1102" s="9">
        <v>184.4</v>
      </c>
      <c r="L1102" s="9">
        <v>49.21</v>
      </c>
      <c r="M1102" s="9">
        <f t="shared" si="17"/>
        <v>0</v>
      </c>
    </row>
    <row r="1103" spans="1:13" x14ac:dyDescent="0.3">
      <c r="A1103" t="s">
        <v>1431</v>
      </c>
      <c r="B1103" s="1">
        <v>45990</v>
      </c>
      <c r="C1103" t="s">
        <v>859</v>
      </c>
      <c r="D1103" t="s">
        <v>14</v>
      </c>
      <c r="E1103" t="s">
        <v>51</v>
      </c>
      <c r="F1103" t="s">
        <v>27</v>
      </c>
      <c r="G1103" t="s">
        <v>22</v>
      </c>
      <c r="H1103">
        <v>1</v>
      </c>
      <c r="I1103" s="12">
        <v>890.71</v>
      </c>
      <c r="J1103" s="12">
        <v>0.2</v>
      </c>
      <c r="K1103" s="9">
        <v>712.56</v>
      </c>
      <c r="L1103" s="9">
        <v>54.62</v>
      </c>
      <c r="M1103" s="9">
        <f t="shared" si="17"/>
        <v>178.14200000000002</v>
      </c>
    </row>
    <row r="1104" spans="1:13" x14ac:dyDescent="0.3">
      <c r="A1104" t="s">
        <v>1432</v>
      </c>
      <c r="B1104" s="1">
        <v>45990</v>
      </c>
      <c r="C1104" t="s">
        <v>491</v>
      </c>
      <c r="D1104" t="s">
        <v>14</v>
      </c>
      <c r="E1104" t="s">
        <v>110</v>
      </c>
      <c r="F1104" t="s">
        <v>42</v>
      </c>
      <c r="G1104" t="s">
        <v>32</v>
      </c>
      <c r="H1104">
        <v>2</v>
      </c>
      <c r="I1104" s="12">
        <v>20.100000000000001</v>
      </c>
      <c r="J1104" s="12">
        <v>0.15</v>
      </c>
      <c r="K1104" s="9">
        <v>34.17</v>
      </c>
      <c r="L1104" s="9">
        <v>5.18</v>
      </c>
      <c r="M1104" s="9">
        <f t="shared" si="17"/>
        <v>6.03</v>
      </c>
    </row>
    <row r="1105" spans="1:13" x14ac:dyDescent="0.3">
      <c r="A1105" t="s">
        <v>1433</v>
      </c>
      <c r="B1105" s="1">
        <v>45990</v>
      </c>
      <c r="C1105" t="s">
        <v>679</v>
      </c>
      <c r="D1105" t="s">
        <v>40</v>
      </c>
      <c r="E1105" t="s">
        <v>15</v>
      </c>
      <c r="F1105" t="s">
        <v>16</v>
      </c>
      <c r="G1105" t="s">
        <v>32</v>
      </c>
      <c r="H1105">
        <v>1</v>
      </c>
      <c r="I1105" s="12">
        <v>12.63</v>
      </c>
      <c r="J1105" s="12">
        <v>0</v>
      </c>
      <c r="K1105" s="9">
        <v>12.63</v>
      </c>
      <c r="L1105" s="9">
        <v>3.43</v>
      </c>
      <c r="M1105" s="9">
        <f t="shared" si="17"/>
        <v>0</v>
      </c>
    </row>
    <row r="1106" spans="1:13" x14ac:dyDescent="0.3">
      <c r="A1106" t="s">
        <v>1434</v>
      </c>
      <c r="B1106" s="1">
        <v>45990</v>
      </c>
      <c r="C1106" t="s">
        <v>315</v>
      </c>
      <c r="D1106" t="s">
        <v>25</v>
      </c>
      <c r="E1106" t="s">
        <v>26</v>
      </c>
      <c r="F1106" t="s">
        <v>27</v>
      </c>
      <c r="G1106" t="s">
        <v>22</v>
      </c>
      <c r="H1106">
        <v>4</v>
      </c>
      <c r="I1106" s="12">
        <v>70.099999999999994</v>
      </c>
      <c r="J1106" s="12">
        <v>0.05</v>
      </c>
      <c r="K1106" s="9">
        <v>266.39</v>
      </c>
      <c r="L1106" s="9">
        <v>67.760000000000005</v>
      </c>
      <c r="M1106" s="9">
        <f t="shared" si="17"/>
        <v>14.02</v>
      </c>
    </row>
    <row r="1107" spans="1:13" x14ac:dyDescent="0.3">
      <c r="A1107" t="s">
        <v>1435</v>
      </c>
      <c r="B1107" s="1">
        <v>45991</v>
      </c>
      <c r="C1107" t="s">
        <v>383</v>
      </c>
      <c r="D1107" t="s">
        <v>14</v>
      </c>
      <c r="E1107" t="s">
        <v>26</v>
      </c>
      <c r="F1107" t="s">
        <v>27</v>
      </c>
      <c r="G1107" t="s">
        <v>22</v>
      </c>
      <c r="H1107">
        <v>4</v>
      </c>
      <c r="I1107" s="12">
        <v>71.58</v>
      </c>
      <c r="J1107" s="12">
        <v>0.05</v>
      </c>
      <c r="K1107" s="9">
        <v>272.02</v>
      </c>
      <c r="L1107" s="9">
        <v>38.92</v>
      </c>
      <c r="M1107" s="9">
        <f t="shared" si="17"/>
        <v>14.316000000000001</v>
      </c>
    </row>
    <row r="1108" spans="1:13" x14ac:dyDescent="0.3">
      <c r="A1108" t="s">
        <v>1436</v>
      </c>
      <c r="B1108" s="1">
        <v>45991</v>
      </c>
      <c r="C1108" t="s">
        <v>682</v>
      </c>
      <c r="D1108" t="s">
        <v>14</v>
      </c>
      <c r="E1108" t="s">
        <v>31</v>
      </c>
      <c r="F1108" t="s">
        <v>21</v>
      </c>
      <c r="G1108" t="s">
        <v>28</v>
      </c>
      <c r="H1108">
        <v>2</v>
      </c>
      <c r="I1108" s="12">
        <v>38.93</v>
      </c>
      <c r="J1108" s="12">
        <v>0.05</v>
      </c>
      <c r="K1108" s="9">
        <v>73.97</v>
      </c>
      <c r="L1108" s="9">
        <v>7.16</v>
      </c>
      <c r="M1108" s="9">
        <f t="shared" si="17"/>
        <v>3.8930000000000002</v>
      </c>
    </row>
    <row r="1109" spans="1:13" x14ac:dyDescent="0.3">
      <c r="A1109" t="s">
        <v>1437</v>
      </c>
      <c r="B1109" s="1">
        <v>45991</v>
      </c>
      <c r="C1109" t="s">
        <v>256</v>
      </c>
      <c r="D1109" t="s">
        <v>25</v>
      </c>
      <c r="E1109" t="s">
        <v>51</v>
      </c>
      <c r="F1109" t="s">
        <v>27</v>
      </c>
      <c r="G1109" t="s">
        <v>32</v>
      </c>
      <c r="H1109">
        <v>1</v>
      </c>
      <c r="I1109" s="12">
        <v>1003.3</v>
      </c>
      <c r="J1109" s="12">
        <v>0.15</v>
      </c>
      <c r="K1109" s="9">
        <v>852.8</v>
      </c>
      <c r="L1109" s="9">
        <v>166.24</v>
      </c>
      <c r="M1109" s="9">
        <f t="shared" si="17"/>
        <v>150.49499999999998</v>
      </c>
    </row>
    <row r="1110" spans="1:13" x14ac:dyDescent="0.3">
      <c r="A1110" t="s">
        <v>1438</v>
      </c>
      <c r="B1110" s="1">
        <v>45992</v>
      </c>
      <c r="C1110" t="s">
        <v>34</v>
      </c>
      <c r="D1110" t="s">
        <v>40</v>
      </c>
      <c r="E1110" t="s">
        <v>110</v>
      </c>
      <c r="F1110" t="s">
        <v>42</v>
      </c>
      <c r="G1110" t="s">
        <v>32</v>
      </c>
      <c r="H1110">
        <v>1</v>
      </c>
      <c r="I1110" s="12">
        <v>19.86</v>
      </c>
      <c r="J1110" s="12">
        <v>0</v>
      </c>
      <c r="K1110" s="9">
        <v>19.86</v>
      </c>
      <c r="L1110" s="9">
        <v>3.73</v>
      </c>
      <c r="M1110" s="9">
        <f t="shared" si="17"/>
        <v>0</v>
      </c>
    </row>
    <row r="1111" spans="1:13" x14ac:dyDescent="0.3">
      <c r="A1111" t="s">
        <v>1439</v>
      </c>
      <c r="B1111" s="1">
        <v>45993</v>
      </c>
      <c r="C1111" t="s">
        <v>275</v>
      </c>
      <c r="D1111" t="s">
        <v>14</v>
      </c>
      <c r="E1111" t="s">
        <v>110</v>
      </c>
      <c r="F1111" t="s">
        <v>42</v>
      </c>
      <c r="G1111" t="s">
        <v>17</v>
      </c>
      <c r="H1111">
        <v>5</v>
      </c>
      <c r="I1111" s="12">
        <v>22.68</v>
      </c>
      <c r="J1111" s="12">
        <v>0</v>
      </c>
      <c r="K1111" s="9">
        <v>113.41</v>
      </c>
      <c r="L1111" s="9">
        <v>19.11</v>
      </c>
      <c r="M1111" s="9">
        <f t="shared" si="17"/>
        <v>0</v>
      </c>
    </row>
    <row r="1112" spans="1:13" x14ac:dyDescent="0.3">
      <c r="A1112" t="s">
        <v>1440</v>
      </c>
      <c r="B1112" s="1">
        <v>45993</v>
      </c>
      <c r="C1112" t="s">
        <v>1073</v>
      </c>
      <c r="D1112" t="s">
        <v>40</v>
      </c>
      <c r="E1112" t="s">
        <v>65</v>
      </c>
      <c r="F1112" t="s">
        <v>16</v>
      </c>
      <c r="G1112" t="s">
        <v>17</v>
      </c>
      <c r="H1112">
        <v>2</v>
      </c>
      <c r="I1112" s="12">
        <v>19.23</v>
      </c>
      <c r="J1112" s="12">
        <v>0.15</v>
      </c>
      <c r="K1112" s="9">
        <v>32.69</v>
      </c>
      <c r="L1112" s="9">
        <v>5.86</v>
      </c>
      <c r="M1112" s="9">
        <f t="shared" si="17"/>
        <v>5.7690000000000001</v>
      </c>
    </row>
    <row r="1113" spans="1:13" x14ac:dyDescent="0.3">
      <c r="A1113" t="s">
        <v>1441</v>
      </c>
      <c r="B1113" s="1">
        <v>45993</v>
      </c>
      <c r="C1113" t="s">
        <v>941</v>
      </c>
      <c r="D1113" t="s">
        <v>25</v>
      </c>
      <c r="E1113" t="s">
        <v>92</v>
      </c>
      <c r="F1113" t="s">
        <v>16</v>
      </c>
      <c r="G1113" t="s">
        <v>22</v>
      </c>
      <c r="H1113">
        <v>2</v>
      </c>
      <c r="I1113" s="12">
        <v>8.8000000000000007</v>
      </c>
      <c r="J1113" s="12">
        <v>0.1</v>
      </c>
      <c r="K1113" s="9">
        <v>15.84</v>
      </c>
      <c r="L1113" s="9">
        <v>2.37</v>
      </c>
      <c r="M1113" s="9">
        <f t="shared" si="17"/>
        <v>1.7600000000000002</v>
      </c>
    </row>
    <row r="1114" spans="1:13" x14ac:dyDescent="0.3">
      <c r="A1114" t="s">
        <v>1442</v>
      </c>
      <c r="B1114" s="1">
        <v>45994</v>
      </c>
      <c r="C1114" t="s">
        <v>295</v>
      </c>
      <c r="D1114" t="s">
        <v>25</v>
      </c>
      <c r="E1114" t="s">
        <v>37</v>
      </c>
      <c r="F1114" t="s">
        <v>27</v>
      </c>
      <c r="G1114" t="s">
        <v>17</v>
      </c>
      <c r="H1114">
        <v>2</v>
      </c>
      <c r="I1114" s="12">
        <v>200.99</v>
      </c>
      <c r="J1114" s="12">
        <v>0.05</v>
      </c>
      <c r="K1114" s="9">
        <v>381.88</v>
      </c>
      <c r="L1114" s="9">
        <v>49.35</v>
      </c>
      <c r="M1114" s="9">
        <f t="shared" si="17"/>
        <v>20.099000000000004</v>
      </c>
    </row>
    <row r="1115" spans="1:13" x14ac:dyDescent="0.3">
      <c r="A1115" t="s">
        <v>1443</v>
      </c>
      <c r="B1115" s="1">
        <v>45994</v>
      </c>
      <c r="C1115" t="s">
        <v>243</v>
      </c>
      <c r="D1115" t="s">
        <v>40</v>
      </c>
      <c r="E1115" t="s">
        <v>54</v>
      </c>
      <c r="F1115" t="s">
        <v>27</v>
      </c>
      <c r="G1115" t="s">
        <v>28</v>
      </c>
      <c r="H1115">
        <v>5</v>
      </c>
      <c r="I1115" s="12">
        <v>29.14</v>
      </c>
      <c r="J1115" s="12">
        <v>0</v>
      </c>
      <c r="K1115" s="9">
        <v>145.68</v>
      </c>
      <c r="L1115" s="9">
        <v>18.14</v>
      </c>
      <c r="M1115" s="9">
        <f t="shared" si="17"/>
        <v>0</v>
      </c>
    </row>
    <row r="1116" spans="1:13" x14ac:dyDescent="0.3">
      <c r="A1116" t="s">
        <v>1444</v>
      </c>
      <c r="B1116" s="1">
        <v>45995</v>
      </c>
      <c r="C1116" t="s">
        <v>297</v>
      </c>
      <c r="D1116" t="s">
        <v>40</v>
      </c>
      <c r="E1116" t="s">
        <v>92</v>
      </c>
      <c r="F1116" t="s">
        <v>16</v>
      </c>
      <c r="G1116" t="s">
        <v>22</v>
      </c>
      <c r="H1116">
        <v>2</v>
      </c>
      <c r="I1116" s="12">
        <v>9.61</v>
      </c>
      <c r="J1116" s="12">
        <v>0</v>
      </c>
      <c r="K1116" s="9">
        <v>19.21</v>
      </c>
      <c r="L1116" s="9">
        <v>2.73</v>
      </c>
      <c r="M1116" s="9">
        <f t="shared" si="17"/>
        <v>0</v>
      </c>
    </row>
    <row r="1117" spans="1:13" x14ac:dyDescent="0.3">
      <c r="A1117" t="s">
        <v>1445</v>
      </c>
      <c r="B1117" s="1">
        <v>45995</v>
      </c>
      <c r="C1117" t="s">
        <v>24</v>
      </c>
      <c r="D1117" t="s">
        <v>14</v>
      </c>
      <c r="E1117" t="s">
        <v>41</v>
      </c>
      <c r="F1117" t="s">
        <v>42</v>
      </c>
      <c r="G1117" t="s">
        <v>17</v>
      </c>
      <c r="H1117">
        <v>1</v>
      </c>
      <c r="I1117" s="12">
        <v>59.24</v>
      </c>
      <c r="J1117" s="12">
        <v>0.1</v>
      </c>
      <c r="K1117" s="9">
        <v>53.31</v>
      </c>
      <c r="L1117" s="9">
        <v>5.46</v>
      </c>
      <c r="M1117" s="9">
        <f t="shared" si="17"/>
        <v>5.9240000000000004</v>
      </c>
    </row>
    <row r="1118" spans="1:13" x14ac:dyDescent="0.3">
      <c r="A1118" t="s">
        <v>1446</v>
      </c>
      <c r="B1118" s="1">
        <v>45995</v>
      </c>
      <c r="C1118" t="s">
        <v>1447</v>
      </c>
      <c r="D1118" t="s">
        <v>14</v>
      </c>
      <c r="E1118" t="s">
        <v>15</v>
      </c>
      <c r="F1118" t="s">
        <v>16</v>
      </c>
      <c r="G1118" t="s">
        <v>22</v>
      </c>
      <c r="H1118">
        <v>3</v>
      </c>
      <c r="I1118" s="12">
        <v>12.6</v>
      </c>
      <c r="J1118" s="12">
        <v>0</v>
      </c>
      <c r="K1118" s="9">
        <v>37.799999999999997</v>
      </c>
      <c r="L1118" s="9">
        <v>6.89</v>
      </c>
      <c r="M1118" s="9">
        <f t="shared" si="17"/>
        <v>0</v>
      </c>
    </row>
    <row r="1119" spans="1:13" x14ac:dyDescent="0.3">
      <c r="A1119" t="s">
        <v>1448</v>
      </c>
      <c r="B1119" s="1">
        <v>45997</v>
      </c>
      <c r="C1119" t="s">
        <v>48</v>
      </c>
      <c r="D1119" t="s">
        <v>14</v>
      </c>
      <c r="E1119" t="s">
        <v>51</v>
      </c>
      <c r="F1119" t="s">
        <v>27</v>
      </c>
      <c r="G1119" t="s">
        <v>28</v>
      </c>
      <c r="H1119">
        <v>2</v>
      </c>
      <c r="I1119" s="12">
        <v>984.61</v>
      </c>
      <c r="J1119" s="12">
        <v>0</v>
      </c>
      <c r="K1119" s="9">
        <v>1969.22</v>
      </c>
      <c r="L1119" s="9">
        <v>531.65</v>
      </c>
      <c r="M1119" s="9">
        <f t="shared" si="17"/>
        <v>0</v>
      </c>
    </row>
    <row r="1120" spans="1:13" x14ac:dyDescent="0.3">
      <c r="A1120" t="s">
        <v>1449</v>
      </c>
      <c r="B1120" s="1">
        <v>45997</v>
      </c>
      <c r="C1120" t="s">
        <v>827</v>
      </c>
      <c r="D1120" t="s">
        <v>25</v>
      </c>
      <c r="E1120" t="s">
        <v>26</v>
      </c>
      <c r="F1120" t="s">
        <v>27</v>
      </c>
      <c r="G1120" t="s">
        <v>17</v>
      </c>
      <c r="H1120">
        <v>5</v>
      </c>
      <c r="I1120" s="12">
        <v>72.08</v>
      </c>
      <c r="J1120" s="12">
        <v>0</v>
      </c>
      <c r="K1120" s="9">
        <v>360.4</v>
      </c>
      <c r="L1120" s="9">
        <v>63.84</v>
      </c>
      <c r="M1120" s="9">
        <f t="shared" si="17"/>
        <v>0</v>
      </c>
    </row>
    <row r="1121" spans="1:13" x14ac:dyDescent="0.3">
      <c r="A1121" t="s">
        <v>1450</v>
      </c>
      <c r="B1121" s="1">
        <v>45997</v>
      </c>
      <c r="C1121" t="s">
        <v>277</v>
      </c>
      <c r="D1121" t="s">
        <v>40</v>
      </c>
      <c r="E1121" t="s">
        <v>54</v>
      </c>
      <c r="F1121" t="s">
        <v>27</v>
      </c>
      <c r="G1121" t="s">
        <v>32</v>
      </c>
      <c r="H1121">
        <v>3</v>
      </c>
      <c r="I1121" s="12">
        <v>30.43</v>
      </c>
      <c r="J1121" s="12">
        <v>0.15</v>
      </c>
      <c r="K1121" s="9">
        <v>77.599999999999994</v>
      </c>
      <c r="L1121" s="9">
        <v>9.31</v>
      </c>
      <c r="M1121" s="9">
        <f t="shared" si="17"/>
        <v>13.693499999999998</v>
      </c>
    </row>
    <row r="1122" spans="1:13" x14ac:dyDescent="0.3">
      <c r="A1122" t="s">
        <v>1451</v>
      </c>
      <c r="B1122" s="1">
        <v>45997</v>
      </c>
      <c r="C1122" t="s">
        <v>266</v>
      </c>
      <c r="D1122" t="s">
        <v>40</v>
      </c>
      <c r="E1122" t="s">
        <v>15</v>
      </c>
      <c r="F1122" t="s">
        <v>16</v>
      </c>
      <c r="G1122" t="s">
        <v>32</v>
      </c>
      <c r="H1122">
        <v>1</v>
      </c>
      <c r="I1122" s="12">
        <v>14.22</v>
      </c>
      <c r="J1122" s="12">
        <v>0</v>
      </c>
      <c r="K1122" s="9">
        <v>14.22</v>
      </c>
      <c r="L1122" s="9">
        <v>2.11</v>
      </c>
      <c r="M1122" s="9">
        <f t="shared" si="17"/>
        <v>0</v>
      </c>
    </row>
    <row r="1123" spans="1:13" x14ac:dyDescent="0.3">
      <c r="A1123" t="s">
        <v>1452</v>
      </c>
      <c r="B1123" s="1">
        <v>45997</v>
      </c>
      <c r="C1123" t="s">
        <v>523</v>
      </c>
      <c r="D1123" t="s">
        <v>25</v>
      </c>
      <c r="E1123" t="s">
        <v>26</v>
      </c>
      <c r="F1123" t="s">
        <v>27</v>
      </c>
      <c r="G1123" t="s">
        <v>22</v>
      </c>
      <c r="H1123">
        <v>1</v>
      </c>
      <c r="I1123" s="12">
        <v>73.28</v>
      </c>
      <c r="J1123" s="12">
        <v>0.05</v>
      </c>
      <c r="K1123" s="9">
        <v>69.61</v>
      </c>
      <c r="L1123" s="9">
        <v>16.850000000000001</v>
      </c>
      <c r="M1123" s="9">
        <f t="shared" si="17"/>
        <v>3.6640000000000001</v>
      </c>
    </row>
    <row r="1124" spans="1:13" x14ac:dyDescent="0.3">
      <c r="A1124" t="s">
        <v>1453</v>
      </c>
      <c r="B1124" s="1">
        <v>45998</v>
      </c>
      <c r="C1124" t="s">
        <v>332</v>
      </c>
      <c r="D1124" t="s">
        <v>14</v>
      </c>
      <c r="E1124" t="s">
        <v>92</v>
      </c>
      <c r="F1124" t="s">
        <v>16</v>
      </c>
      <c r="G1124" t="s">
        <v>28</v>
      </c>
      <c r="H1124">
        <v>2</v>
      </c>
      <c r="I1124" s="12">
        <v>8.57</v>
      </c>
      <c r="J1124" s="12">
        <v>0.05</v>
      </c>
      <c r="K1124" s="9">
        <v>16.27</v>
      </c>
      <c r="L1124" s="9">
        <v>3.73</v>
      </c>
      <c r="M1124" s="9">
        <f t="shared" si="17"/>
        <v>0.8570000000000001</v>
      </c>
    </row>
    <row r="1125" spans="1:13" x14ac:dyDescent="0.3">
      <c r="A1125" t="s">
        <v>1454</v>
      </c>
      <c r="B1125" s="1">
        <v>45999</v>
      </c>
      <c r="C1125" t="s">
        <v>259</v>
      </c>
      <c r="D1125" t="s">
        <v>14</v>
      </c>
      <c r="E1125" t="s">
        <v>20</v>
      </c>
      <c r="F1125" t="s">
        <v>21</v>
      </c>
      <c r="G1125" t="s">
        <v>32</v>
      </c>
      <c r="H1125">
        <v>1</v>
      </c>
      <c r="I1125" s="12">
        <v>177.06</v>
      </c>
      <c r="J1125" s="12">
        <v>0</v>
      </c>
      <c r="K1125" s="9">
        <v>177.06</v>
      </c>
      <c r="L1125" s="9">
        <v>32.17</v>
      </c>
      <c r="M1125" s="9">
        <f t="shared" si="17"/>
        <v>0</v>
      </c>
    </row>
    <row r="1126" spans="1:13" x14ac:dyDescent="0.3">
      <c r="A1126" t="s">
        <v>1455</v>
      </c>
      <c r="B1126" s="1">
        <v>45999</v>
      </c>
      <c r="C1126" t="s">
        <v>457</v>
      </c>
      <c r="D1126" t="s">
        <v>40</v>
      </c>
      <c r="E1126" t="s">
        <v>41</v>
      </c>
      <c r="F1126" t="s">
        <v>42</v>
      </c>
      <c r="G1126" t="s">
        <v>28</v>
      </c>
      <c r="H1126">
        <v>3</v>
      </c>
      <c r="I1126" s="12">
        <v>56.48</v>
      </c>
      <c r="J1126" s="12">
        <v>0.05</v>
      </c>
      <c r="K1126" s="9">
        <v>160.94999999999999</v>
      </c>
      <c r="L1126" s="9">
        <v>13.65</v>
      </c>
      <c r="M1126" s="9">
        <f t="shared" si="17"/>
        <v>8.4719999999999995</v>
      </c>
    </row>
    <row r="1127" spans="1:13" x14ac:dyDescent="0.3">
      <c r="A1127" t="s">
        <v>1456</v>
      </c>
      <c r="B1127" s="1">
        <v>45999</v>
      </c>
      <c r="C1127" t="s">
        <v>1447</v>
      </c>
      <c r="D1127" t="s">
        <v>40</v>
      </c>
      <c r="E1127" t="s">
        <v>26</v>
      </c>
      <c r="F1127" t="s">
        <v>27</v>
      </c>
      <c r="G1127" t="s">
        <v>17</v>
      </c>
      <c r="H1127">
        <v>3</v>
      </c>
      <c r="I1127" s="12">
        <v>78.34</v>
      </c>
      <c r="J1127" s="12">
        <v>0.1</v>
      </c>
      <c r="K1127" s="9">
        <v>211.52</v>
      </c>
      <c r="L1127" s="9">
        <v>21.33</v>
      </c>
      <c r="M1127" s="9">
        <f t="shared" si="17"/>
        <v>23.502000000000002</v>
      </c>
    </row>
    <row r="1128" spans="1:13" x14ac:dyDescent="0.3">
      <c r="A1128" t="s">
        <v>1457</v>
      </c>
      <c r="B1128" s="1">
        <v>45999</v>
      </c>
      <c r="C1128" t="s">
        <v>359</v>
      </c>
      <c r="D1128" t="s">
        <v>14</v>
      </c>
      <c r="E1128" t="s">
        <v>54</v>
      </c>
      <c r="F1128" t="s">
        <v>27</v>
      </c>
      <c r="G1128" t="s">
        <v>22</v>
      </c>
      <c r="H1128">
        <v>4</v>
      </c>
      <c r="I1128" s="12">
        <v>26.82</v>
      </c>
      <c r="J1128" s="12">
        <v>0</v>
      </c>
      <c r="K1128" s="9">
        <v>107.29</v>
      </c>
      <c r="L1128" s="9">
        <v>14.37</v>
      </c>
      <c r="M1128" s="9">
        <f t="shared" si="17"/>
        <v>0</v>
      </c>
    </row>
    <row r="1129" spans="1:13" x14ac:dyDescent="0.3">
      <c r="A1129" t="s">
        <v>1458</v>
      </c>
      <c r="B1129" s="1">
        <v>45999</v>
      </c>
      <c r="C1129" t="s">
        <v>146</v>
      </c>
      <c r="D1129" t="s">
        <v>25</v>
      </c>
      <c r="E1129" t="s">
        <v>51</v>
      </c>
      <c r="F1129" t="s">
        <v>27</v>
      </c>
      <c r="G1129" t="s">
        <v>17</v>
      </c>
      <c r="H1129">
        <v>1</v>
      </c>
      <c r="I1129" s="12">
        <v>868.24</v>
      </c>
      <c r="J1129" s="12">
        <v>0.15</v>
      </c>
      <c r="K1129" s="9">
        <v>738.01</v>
      </c>
      <c r="L1129" s="9">
        <v>35.64</v>
      </c>
      <c r="M1129" s="9">
        <f t="shared" si="17"/>
        <v>130.23599999999999</v>
      </c>
    </row>
    <row r="1130" spans="1:13" x14ac:dyDescent="0.3">
      <c r="A1130" t="s">
        <v>1459</v>
      </c>
      <c r="B1130" s="1">
        <v>45999</v>
      </c>
      <c r="C1130" t="s">
        <v>506</v>
      </c>
      <c r="D1130" t="s">
        <v>14</v>
      </c>
      <c r="E1130" t="s">
        <v>41</v>
      </c>
      <c r="F1130" t="s">
        <v>42</v>
      </c>
      <c r="G1130" t="s">
        <v>28</v>
      </c>
      <c r="H1130">
        <v>4</v>
      </c>
      <c r="I1130" s="12">
        <v>58.49</v>
      </c>
      <c r="J1130" s="12">
        <v>0</v>
      </c>
      <c r="K1130" s="9">
        <v>233.97</v>
      </c>
      <c r="L1130" s="9">
        <v>36.53</v>
      </c>
      <c r="M1130" s="9">
        <f t="shared" si="17"/>
        <v>0</v>
      </c>
    </row>
    <row r="1131" spans="1:13" x14ac:dyDescent="0.3">
      <c r="A1131" t="s">
        <v>1460</v>
      </c>
      <c r="B1131" s="1">
        <v>45999</v>
      </c>
      <c r="C1131" t="s">
        <v>359</v>
      </c>
      <c r="D1131" t="s">
        <v>14</v>
      </c>
      <c r="E1131" t="s">
        <v>51</v>
      </c>
      <c r="F1131" t="s">
        <v>27</v>
      </c>
      <c r="G1131" t="s">
        <v>17</v>
      </c>
      <c r="H1131">
        <v>4</v>
      </c>
      <c r="I1131" s="12">
        <v>942.3</v>
      </c>
      <c r="J1131" s="12">
        <v>0.05</v>
      </c>
      <c r="K1131" s="9">
        <v>3580.76</v>
      </c>
      <c r="L1131" s="9">
        <v>493.3</v>
      </c>
      <c r="M1131" s="9">
        <f t="shared" si="17"/>
        <v>188.46</v>
      </c>
    </row>
    <row r="1132" spans="1:13" x14ac:dyDescent="0.3">
      <c r="A1132" t="s">
        <v>1461</v>
      </c>
      <c r="B1132" s="1">
        <v>45999</v>
      </c>
      <c r="C1132" t="s">
        <v>442</v>
      </c>
      <c r="D1132" t="s">
        <v>25</v>
      </c>
      <c r="E1132" t="s">
        <v>31</v>
      </c>
      <c r="F1132" t="s">
        <v>21</v>
      </c>
      <c r="G1132" t="s">
        <v>22</v>
      </c>
      <c r="H1132">
        <v>1</v>
      </c>
      <c r="I1132" s="12">
        <v>42.61</v>
      </c>
      <c r="J1132" s="12">
        <v>0</v>
      </c>
      <c r="K1132" s="9">
        <v>42.61</v>
      </c>
      <c r="L1132" s="9">
        <v>10.39</v>
      </c>
      <c r="M1132" s="9">
        <f t="shared" si="17"/>
        <v>0</v>
      </c>
    </row>
    <row r="1133" spans="1:13" x14ac:dyDescent="0.3">
      <c r="A1133" t="s">
        <v>1462</v>
      </c>
      <c r="B1133" s="1">
        <v>45999</v>
      </c>
      <c r="C1133" t="s">
        <v>124</v>
      </c>
      <c r="D1133" t="s">
        <v>40</v>
      </c>
      <c r="E1133" t="s">
        <v>41</v>
      </c>
      <c r="F1133" t="s">
        <v>42</v>
      </c>
      <c r="G1133" t="s">
        <v>28</v>
      </c>
      <c r="H1133">
        <v>2</v>
      </c>
      <c r="I1133" s="12">
        <v>59.67</v>
      </c>
      <c r="J1133" s="12">
        <v>0.1</v>
      </c>
      <c r="K1133" s="9">
        <v>107.4</v>
      </c>
      <c r="L1133" s="9">
        <v>21.69</v>
      </c>
      <c r="M1133" s="9">
        <f t="shared" si="17"/>
        <v>11.934000000000001</v>
      </c>
    </row>
    <row r="1134" spans="1:13" x14ac:dyDescent="0.3">
      <c r="A1134" t="s">
        <v>1463</v>
      </c>
      <c r="B1134" s="1">
        <v>46000</v>
      </c>
      <c r="C1134" t="s">
        <v>109</v>
      </c>
      <c r="D1134" t="s">
        <v>14</v>
      </c>
      <c r="E1134" t="s">
        <v>56</v>
      </c>
      <c r="F1134" t="s">
        <v>21</v>
      </c>
      <c r="G1134" t="s">
        <v>22</v>
      </c>
      <c r="H1134">
        <v>5</v>
      </c>
      <c r="I1134" s="12">
        <v>316.2</v>
      </c>
      <c r="J1134" s="12">
        <v>0.05</v>
      </c>
      <c r="K1134" s="9">
        <v>1501.94</v>
      </c>
      <c r="L1134" s="9">
        <v>240.23</v>
      </c>
      <c r="M1134" s="9">
        <f t="shared" si="17"/>
        <v>79.050000000000011</v>
      </c>
    </row>
    <row r="1135" spans="1:13" x14ac:dyDescent="0.3">
      <c r="A1135" t="s">
        <v>1464</v>
      </c>
      <c r="B1135" s="1">
        <v>46001</v>
      </c>
      <c r="C1135" t="s">
        <v>326</v>
      </c>
      <c r="D1135" t="s">
        <v>25</v>
      </c>
      <c r="E1135" t="s">
        <v>56</v>
      </c>
      <c r="F1135" t="s">
        <v>21</v>
      </c>
      <c r="G1135" t="s">
        <v>17</v>
      </c>
      <c r="H1135">
        <v>5</v>
      </c>
      <c r="I1135" s="12">
        <v>299.7</v>
      </c>
      <c r="J1135" s="12">
        <v>0</v>
      </c>
      <c r="K1135" s="9">
        <v>1498.52</v>
      </c>
      <c r="L1135" s="9">
        <v>331.19</v>
      </c>
      <c r="M1135" s="9">
        <f t="shared" si="17"/>
        <v>0</v>
      </c>
    </row>
    <row r="1136" spans="1:13" x14ac:dyDescent="0.3">
      <c r="A1136" t="s">
        <v>1465</v>
      </c>
      <c r="B1136" s="1">
        <v>46001</v>
      </c>
      <c r="C1136" t="s">
        <v>494</v>
      </c>
      <c r="D1136" t="s">
        <v>40</v>
      </c>
      <c r="E1136" t="s">
        <v>15</v>
      </c>
      <c r="F1136" t="s">
        <v>16</v>
      </c>
      <c r="G1136" t="s">
        <v>32</v>
      </c>
      <c r="H1136">
        <v>1</v>
      </c>
      <c r="I1136" s="12">
        <v>14.85</v>
      </c>
      <c r="J1136" s="12">
        <v>0.05</v>
      </c>
      <c r="K1136" s="9">
        <v>14.11</v>
      </c>
      <c r="L1136" s="9">
        <v>1.35</v>
      </c>
      <c r="M1136" s="9">
        <f t="shared" si="17"/>
        <v>0.74250000000000005</v>
      </c>
    </row>
    <row r="1137" spans="1:13" x14ac:dyDescent="0.3">
      <c r="A1137" t="s">
        <v>1466</v>
      </c>
      <c r="B1137" s="1">
        <v>46001</v>
      </c>
      <c r="C1137" t="s">
        <v>60</v>
      </c>
      <c r="D1137" t="s">
        <v>40</v>
      </c>
      <c r="E1137" t="s">
        <v>20</v>
      </c>
      <c r="F1137" t="s">
        <v>21</v>
      </c>
      <c r="G1137" t="s">
        <v>17</v>
      </c>
      <c r="H1137">
        <v>4</v>
      </c>
      <c r="I1137" s="12">
        <v>187.28</v>
      </c>
      <c r="J1137" s="12">
        <v>0.05</v>
      </c>
      <c r="K1137" s="9">
        <v>711.67</v>
      </c>
      <c r="L1137" s="9">
        <v>192.21</v>
      </c>
      <c r="M1137" s="9">
        <f t="shared" si="17"/>
        <v>37.456000000000003</v>
      </c>
    </row>
    <row r="1138" spans="1:13" x14ac:dyDescent="0.3">
      <c r="A1138" t="s">
        <v>1467</v>
      </c>
      <c r="B1138" s="1">
        <v>46001</v>
      </c>
      <c r="C1138" t="s">
        <v>58</v>
      </c>
      <c r="D1138" t="s">
        <v>14</v>
      </c>
      <c r="E1138" t="s">
        <v>15</v>
      </c>
      <c r="F1138" t="s">
        <v>16</v>
      </c>
      <c r="G1138" t="s">
        <v>17</v>
      </c>
      <c r="H1138">
        <v>1</v>
      </c>
      <c r="I1138" s="12">
        <v>13.7</v>
      </c>
      <c r="J1138" s="12">
        <v>0</v>
      </c>
      <c r="K1138" s="9">
        <v>13.7</v>
      </c>
      <c r="L1138" s="9">
        <v>2.41</v>
      </c>
      <c r="M1138" s="9">
        <f t="shared" si="17"/>
        <v>0</v>
      </c>
    </row>
    <row r="1139" spans="1:13" x14ac:dyDescent="0.3">
      <c r="A1139" t="s">
        <v>1468</v>
      </c>
      <c r="B1139" s="1">
        <v>46001</v>
      </c>
      <c r="C1139" t="s">
        <v>134</v>
      </c>
      <c r="D1139" t="s">
        <v>14</v>
      </c>
      <c r="E1139" t="s">
        <v>51</v>
      </c>
      <c r="F1139" t="s">
        <v>27</v>
      </c>
      <c r="G1139" t="s">
        <v>32</v>
      </c>
      <c r="H1139">
        <v>3</v>
      </c>
      <c r="I1139" s="12">
        <v>993.51</v>
      </c>
      <c r="J1139" s="12">
        <v>0.1</v>
      </c>
      <c r="K1139" s="9">
        <v>2682.48</v>
      </c>
      <c r="L1139" s="9">
        <v>585.16999999999996</v>
      </c>
      <c r="M1139" s="9">
        <f t="shared" si="17"/>
        <v>298.053</v>
      </c>
    </row>
    <row r="1140" spans="1:13" x14ac:dyDescent="0.3">
      <c r="A1140" t="s">
        <v>1469</v>
      </c>
      <c r="B1140" s="1">
        <v>46002</v>
      </c>
      <c r="C1140" t="s">
        <v>1103</v>
      </c>
      <c r="D1140" t="s">
        <v>25</v>
      </c>
      <c r="E1140" t="s">
        <v>54</v>
      </c>
      <c r="F1140" t="s">
        <v>27</v>
      </c>
      <c r="G1140" t="s">
        <v>22</v>
      </c>
      <c r="H1140">
        <v>2</v>
      </c>
      <c r="I1140" s="12">
        <v>26.63</v>
      </c>
      <c r="J1140" s="12">
        <v>0</v>
      </c>
      <c r="K1140" s="9">
        <v>53.26</v>
      </c>
      <c r="L1140" s="9">
        <v>7.75</v>
      </c>
      <c r="M1140" s="9">
        <f t="shared" si="17"/>
        <v>0</v>
      </c>
    </row>
    <row r="1141" spans="1:13" x14ac:dyDescent="0.3">
      <c r="A1141" t="s">
        <v>1470</v>
      </c>
      <c r="B1141" s="1">
        <v>46002</v>
      </c>
      <c r="C1141" t="s">
        <v>48</v>
      </c>
      <c r="D1141" t="s">
        <v>40</v>
      </c>
      <c r="E1141" t="s">
        <v>51</v>
      </c>
      <c r="F1141" t="s">
        <v>27</v>
      </c>
      <c r="G1141" t="s">
        <v>28</v>
      </c>
      <c r="H1141">
        <v>3</v>
      </c>
      <c r="I1141" s="12">
        <v>866.23</v>
      </c>
      <c r="J1141" s="12">
        <v>0</v>
      </c>
      <c r="K1141" s="9">
        <v>2598.69</v>
      </c>
      <c r="L1141" s="9">
        <v>566.89</v>
      </c>
      <c r="M1141" s="9">
        <f t="shared" si="17"/>
        <v>0</v>
      </c>
    </row>
    <row r="1142" spans="1:13" x14ac:dyDescent="0.3">
      <c r="A1142" t="s">
        <v>1471</v>
      </c>
      <c r="B1142" s="1">
        <v>46002</v>
      </c>
      <c r="C1142" t="s">
        <v>64</v>
      </c>
      <c r="D1142" t="s">
        <v>14</v>
      </c>
      <c r="E1142" t="s">
        <v>54</v>
      </c>
      <c r="F1142" t="s">
        <v>27</v>
      </c>
      <c r="G1142" t="s">
        <v>28</v>
      </c>
      <c r="H1142">
        <v>2</v>
      </c>
      <c r="I1142" s="12">
        <v>27.39</v>
      </c>
      <c r="J1142" s="12">
        <v>0</v>
      </c>
      <c r="K1142" s="9">
        <v>54.79</v>
      </c>
      <c r="L1142" s="9">
        <v>12.2</v>
      </c>
      <c r="M1142" s="9">
        <f t="shared" si="17"/>
        <v>0</v>
      </c>
    </row>
    <row r="1143" spans="1:13" x14ac:dyDescent="0.3">
      <c r="A1143" t="s">
        <v>1472</v>
      </c>
      <c r="B1143" s="1">
        <v>46002</v>
      </c>
      <c r="C1143" t="s">
        <v>141</v>
      </c>
      <c r="D1143" t="s">
        <v>40</v>
      </c>
      <c r="E1143" t="s">
        <v>15</v>
      </c>
      <c r="F1143" t="s">
        <v>16</v>
      </c>
      <c r="G1143" t="s">
        <v>28</v>
      </c>
      <c r="H1143">
        <v>2</v>
      </c>
      <c r="I1143" s="12">
        <v>14.84</v>
      </c>
      <c r="J1143" s="12">
        <v>0</v>
      </c>
      <c r="K1143" s="9">
        <v>29.68</v>
      </c>
      <c r="L1143" s="9">
        <v>6.13</v>
      </c>
      <c r="M1143" s="9">
        <f t="shared" si="17"/>
        <v>0</v>
      </c>
    </row>
    <row r="1144" spans="1:13" x14ac:dyDescent="0.3">
      <c r="A1144" t="s">
        <v>1473</v>
      </c>
      <c r="B1144" s="1">
        <v>46003</v>
      </c>
      <c r="C1144" t="s">
        <v>718</v>
      </c>
      <c r="D1144" t="s">
        <v>40</v>
      </c>
      <c r="E1144" t="s">
        <v>20</v>
      </c>
      <c r="F1144" t="s">
        <v>21</v>
      </c>
      <c r="G1144" t="s">
        <v>32</v>
      </c>
      <c r="H1144">
        <v>1</v>
      </c>
      <c r="I1144" s="12">
        <v>192.88</v>
      </c>
      <c r="J1144" s="12">
        <v>0</v>
      </c>
      <c r="K1144" s="9">
        <v>192.88</v>
      </c>
      <c r="L1144" s="9">
        <v>27.35</v>
      </c>
      <c r="M1144" s="9">
        <f t="shared" si="17"/>
        <v>0</v>
      </c>
    </row>
    <row r="1145" spans="1:13" x14ac:dyDescent="0.3">
      <c r="A1145" t="s">
        <v>1474</v>
      </c>
      <c r="B1145" s="1">
        <v>46003</v>
      </c>
      <c r="C1145" t="s">
        <v>479</v>
      </c>
      <c r="D1145" t="s">
        <v>14</v>
      </c>
      <c r="E1145" t="s">
        <v>92</v>
      </c>
      <c r="F1145" t="s">
        <v>16</v>
      </c>
      <c r="G1145" t="s">
        <v>17</v>
      </c>
      <c r="H1145">
        <v>5</v>
      </c>
      <c r="I1145" s="12">
        <v>9.1</v>
      </c>
      <c r="J1145" s="12">
        <v>0.2</v>
      </c>
      <c r="K1145" s="9">
        <v>36.42</v>
      </c>
      <c r="L1145" s="9">
        <v>8.0399999999999991</v>
      </c>
      <c r="M1145" s="9">
        <f t="shared" si="17"/>
        <v>9.1</v>
      </c>
    </row>
    <row r="1146" spans="1:13" x14ac:dyDescent="0.3">
      <c r="A1146" t="s">
        <v>1475</v>
      </c>
      <c r="B1146" s="1">
        <v>46004</v>
      </c>
      <c r="C1146" t="s">
        <v>168</v>
      </c>
      <c r="D1146" t="s">
        <v>25</v>
      </c>
      <c r="E1146" t="s">
        <v>51</v>
      </c>
      <c r="F1146" t="s">
        <v>27</v>
      </c>
      <c r="G1146" t="s">
        <v>28</v>
      </c>
      <c r="H1146">
        <v>2</v>
      </c>
      <c r="I1146" s="12">
        <v>1019.79</v>
      </c>
      <c r="J1146" s="12">
        <v>0.15</v>
      </c>
      <c r="K1146" s="9">
        <v>1733.64</v>
      </c>
      <c r="L1146" s="9">
        <v>312.64</v>
      </c>
      <c r="M1146" s="9">
        <f t="shared" si="17"/>
        <v>305.93699999999995</v>
      </c>
    </row>
    <row r="1147" spans="1:13" x14ac:dyDescent="0.3">
      <c r="A1147" t="s">
        <v>1476</v>
      </c>
      <c r="B1147" s="1">
        <v>46004</v>
      </c>
      <c r="C1147" t="s">
        <v>162</v>
      </c>
      <c r="D1147" t="s">
        <v>14</v>
      </c>
      <c r="E1147" t="s">
        <v>51</v>
      </c>
      <c r="F1147" t="s">
        <v>27</v>
      </c>
      <c r="G1147" t="s">
        <v>22</v>
      </c>
      <c r="H1147">
        <v>4</v>
      </c>
      <c r="I1147" s="12">
        <v>964.75</v>
      </c>
      <c r="J1147" s="12">
        <v>0</v>
      </c>
      <c r="K1147" s="9">
        <v>3859</v>
      </c>
      <c r="L1147" s="9">
        <v>436.46</v>
      </c>
      <c r="M1147" s="9">
        <f t="shared" si="17"/>
        <v>0</v>
      </c>
    </row>
    <row r="1148" spans="1:13" x14ac:dyDescent="0.3">
      <c r="A1148" t="s">
        <v>1477</v>
      </c>
      <c r="B1148" s="1">
        <v>46004</v>
      </c>
      <c r="C1148" t="s">
        <v>91</v>
      </c>
      <c r="D1148" t="s">
        <v>40</v>
      </c>
      <c r="E1148" t="s">
        <v>41</v>
      </c>
      <c r="F1148" t="s">
        <v>42</v>
      </c>
      <c r="G1148" t="s">
        <v>32</v>
      </c>
      <c r="H1148">
        <v>1</v>
      </c>
      <c r="I1148" s="12">
        <v>58.08</v>
      </c>
      <c r="J1148" s="12">
        <v>0.05</v>
      </c>
      <c r="K1148" s="9">
        <v>55.18</v>
      </c>
      <c r="L1148" s="9">
        <v>10.119999999999999</v>
      </c>
      <c r="M1148" s="9">
        <f t="shared" si="17"/>
        <v>2.9039999999999999</v>
      </c>
    </row>
    <row r="1149" spans="1:13" x14ac:dyDescent="0.3">
      <c r="A1149" t="s">
        <v>1478</v>
      </c>
      <c r="B1149" s="1">
        <v>46004</v>
      </c>
      <c r="C1149" t="s">
        <v>462</v>
      </c>
      <c r="D1149" t="s">
        <v>14</v>
      </c>
      <c r="E1149" t="s">
        <v>65</v>
      </c>
      <c r="F1149" t="s">
        <v>16</v>
      </c>
      <c r="G1149" t="s">
        <v>32</v>
      </c>
      <c r="H1149">
        <v>1</v>
      </c>
      <c r="I1149" s="12">
        <v>19.36</v>
      </c>
      <c r="J1149" s="12">
        <v>0.1</v>
      </c>
      <c r="K1149" s="9">
        <v>17.420000000000002</v>
      </c>
      <c r="L1149" s="9">
        <v>2.12</v>
      </c>
      <c r="M1149" s="9">
        <f t="shared" si="17"/>
        <v>1.9359999999999999</v>
      </c>
    </row>
    <row r="1150" spans="1:13" x14ac:dyDescent="0.3">
      <c r="A1150" t="s">
        <v>1479</v>
      </c>
      <c r="B1150" s="1">
        <v>46005</v>
      </c>
      <c r="C1150" t="s">
        <v>506</v>
      </c>
      <c r="D1150" t="s">
        <v>14</v>
      </c>
      <c r="E1150" t="s">
        <v>51</v>
      </c>
      <c r="F1150" t="s">
        <v>27</v>
      </c>
      <c r="G1150" t="s">
        <v>22</v>
      </c>
      <c r="H1150">
        <v>1</v>
      </c>
      <c r="I1150" s="12">
        <v>930.41</v>
      </c>
      <c r="J1150" s="12">
        <v>0.05</v>
      </c>
      <c r="K1150" s="9">
        <v>883.89</v>
      </c>
      <c r="L1150" s="9">
        <v>191.67</v>
      </c>
      <c r="M1150" s="9">
        <f t="shared" si="17"/>
        <v>46.520499999999998</v>
      </c>
    </row>
    <row r="1151" spans="1:13" x14ac:dyDescent="0.3">
      <c r="A1151" t="s">
        <v>1480</v>
      </c>
      <c r="B1151" s="1">
        <v>46005</v>
      </c>
      <c r="C1151" t="s">
        <v>341</v>
      </c>
      <c r="D1151" t="s">
        <v>14</v>
      </c>
      <c r="E1151" t="s">
        <v>26</v>
      </c>
      <c r="F1151" t="s">
        <v>27</v>
      </c>
      <c r="G1151" t="s">
        <v>32</v>
      </c>
      <c r="H1151">
        <v>2</v>
      </c>
      <c r="I1151" s="12">
        <v>73.239999999999995</v>
      </c>
      <c r="J1151" s="12">
        <v>0.05</v>
      </c>
      <c r="K1151" s="9">
        <v>139.16</v>
      </c>
      <c r="L1151" s="9">
        <v>33.29</v>
      </c>
      <c r="M1151" s="9">
        <f t="shared" si="17"/>
        <v>7.3239999999999998</v>
      </c>
    </row>
    <row r="1152" spans="1:13" x14ac:dyDescent="0.3">
      <c r="A1152" t="s">
        <v>1481</v>
      </c>
      <c r="B1152" s="1">
        <v>46006</v>
      </c>
      <c r="C1152" t="s">
        <v>855</v>
      </c>
      <c r="D1152" t="s">
        <v>40</v>
      </c>
      <c r="E1152" t="s">
        <v>56</v>
      </c>
      <c r="F1152" t="s">
        <v>21</v>
      </c>
      <c r="G1152" t="s">
        <v>22</v>
      </c>
      <c r="H1152">
        <v>1</v>
      </c>
      <c r="I1152" s="12">
        <v>320.68</v>
      </c>
      <c r="J1152" s="12">
        <v>0</v>
      </c>
      <c r="K1152" s="9">
        <v>320.68</v>
      </c>
      <c r="L1152" s="9">
        <v>77.25</v>
      </c>
      <c r="M1152" s="9">
        <f t="shared" si="17"/>
        <v>0</v>
      </c>
    </row>
    <row r="1153" spans="1:13" x14ac:dyDescent="0.3">
      <c r="A1153" t="s">
        <v>1482</v>
      </c>
      <c r="B1153" s="1">
        <v>46006</v>
      </c>
      <c r="C1153" t="s">
        <v>419</v>
      </c>
      <c r="D1153" t="s">
        <v>25</v>
      </c>
      <c r="E1153" t="s">
        <v>37</v>
      </c>
      <c r="F1153" t="s">
        <v>27</v>
      </c>
      <c r="G1153" t="s">
        <v>28</v>
      </c>
      <c r="H1153">
        <v>2</v>
      </c>
      <c r="I1153" s="12">
        <v>205.44</v>
      </c>
      <c r="J1153" s="12">
        <v>0.15</v>
      </c>
      <c r="K1153" s="9">
        <v>349.24</v>
      </c>
      <c r="L1153" s="9">
        <v>80.27</v>
      </c>
      <c r="M1153" s="9">
        <f t="shared" si="17"/>
        <v>61.631999999999998</v>
      </c>
    </row>
    <row r="1154" spans="1:13" x14ac:dyDescent="0.3">
      <c r="A1154" t="s">
        <v>1483</v>
      </c>
      <c r="B1154" s="1">
        <v>46006</v>
      </c>
      <c r="C1154" t="s">
        <v>608</v>
      </c>
      <c r="D1154" t="s">
        <v>14</v>
      </c>
      <c r="E1154" t="s">
        <v>37</v>
      </c>
      <c r="F1154" t="s">
        <v>27</v>
      </c>
      <c r="G1154" t="s">
        <v>32</v>
      </c>
      <c r="H1154">
        <v>5</v>
      </c>
      <c r="I1154" s="12">
        <v>202.27</v>
      </c>
      <c r="J1154" s="12">
        <v>0</v>
      </c>
      <c r="K1154" s="9">
        <v>1011.36</v>
      </c>
      <c r="L1154" s="9">
        <v>144.44</v>
      </c>
      <c r="M1154" s="9">
        <f t="shared" si="17"/>
        <v>0</v>
      </c>
    </row>
    <row r="1155" spans="1:13" x14ac:dyDescent="0.3">
      <c r="A1155" t="s">
        <v>1484</v>
      </c>
      <c r="B1155" s="1">
        <v>46006</v>
      </c>
      <c r="C1155" t="s">
        <v>606</v>
      </c>
      <c r="D1155" t="s">
        <v>14</v>
      </c>
      <c r="E1155" t="s">
        <v>15</v>
      </c>
      <c r="F1155" t="s">
        <v>16</v>
      </c>
      <c r="G1155" t="s">
        <v>32</v>
      </c>
      <c r="H1155">
        <v>1</v>
      </c>
      <c r="I1155" s="12">
        <v>12.66</v>
      </c>
      <c r="J1155" s="12">
        <v>0.1</v>
      </c>
      <c r="K1155" s="9">
        <v>11.39</v>
      </c>
      <c r="L1155" s="9">
        <v>0.84</v>
      </c>
      <c r="M1155" s="9">
        <f t="shared" ref="M1155:M1201" si="18">H1155*I1155*J1155</f>
        <v>1.266</v>
      </c>
    </row>
    <row r="1156" spans="1:13" x14ac:dyDescent="0.3">
      <c r="A1156" t="s">
        <v>1485</v>
      </c>
      <c r="B1156" s="1">
        <v>46006</v>
      </c>
      <c r="C1156" t="s">
        <v>520</v>
      </c>
      <c r="D1156" t="s">
        <v>14</v>
      </c>
      <c r="E1156" t="s">
        <v>92</v>
      </c>
      <c r="F1156" t="s">
        <v>16</v>
      </c>
      <c r="G1156" t="s">
        <v>32</v>
      </c>
      <c r="H1156">
        <v>1</v>
      </c>
      <c r="I1156" s="12">
        <v>8.51</v>
      </c>
      <c r="J1156" s="12">
        <v>0.15</v>
      </c>
      <c r="K1156" s="9">
        <v>7.24</v>
      </c>
      <c r="L1156" s="9">
        <v>0.77</v>
      </c>
      <c r="M1156" s="9">
        <f t="shared" si="18"/>
        <v>1.2765</v>
      </c>
    </row>
    <row r="1157" spans="1:13" x14ac:dyDescent="0.3">
      <c r="A1157" t="s">
        <v>1486</v>
      </c>
      <c r="B1157" s="1">
        <v>46007</v>
      </c>
      <c r="C1157" t="s">
        <v>209</v>
      </c>
      <c r="D1157" t="s">
        <v>40</v>
      </c>
      <c r="E1157" t="s">
        <v>56</v>
      </c>
      <c r="F1157" t="s">
        <v>21</v>
      </c>
      <c r="G1157" t="s">
        <v>17</v>
      </c>
      <c r="H1157">
        <v>1</v>
      </c>
      <c r="I1157" s="12">
        <v>314.11</v>
      </c>
      <c r="J1157" s="12">
        <v>0.15</v>
      </c>
      <c r="K1157" s="9">
        <v>267</v>
      </c>
      <c r="L1157" s="9">
        <v>33.049999999999997</v>
      </c>
      <c r="M1157" s="9">
        <f t="shared" si="18"/>
        <v>47.116500000000002</v>
      </c>
    </row>
    <row r="1158" spans="1:13" x14ac:dyDescent="0.3">
      <c r="A1158" t="s">
        <v>1487</v>
      </c>
      <c r="B1158" s="1">
        <v>46007</v>
      </c>
      <c r="C1158" t="s">
        <v>99</v>
      </c>
      <c r="D1158" t="s">
        <v>25</v>
      </c>
      <c r="E1158" t="s">
        <v>56</v>
      </c>
      <c r="F1158" t="s">
        <v>21</v>
      </c>
      <c r="G1158" t="s">
        <v>17</v>
      </c>
      <c r="H1158">
        <v>1</v>
      </c>
      <c r="I1158" s="12">
        <v>321.83999999999997</v>
      </c>
      <c r="J1158" s="12">
        <v>0</v>
      </c>
      <c r="K1158" s="9">
        <v>321.83999999999997</v>
      </c>
      <c r="L1158" s="9">
        <v>62.49</v>
      </c>
      <c r="M1158" s="9">
        <f t="shared" si="18"/>
        <v>0</v>
      </c>
    </row>
    <row r="1159" spans="1:13" x14ac:dyDescent="0.3">
      <c r="A1159" t="s">
        <v>1488</v>
      </c>
      <c r="B1159" s="1">
        <v>46007</v>
      </c>
      <c r="C1159" t="s">
        <v>1321</v>
      </c>
      <c r="D1159" t="s">
        <v>14</v>
      </c>
      <c r="E1159" t="s">
        <v>51</v>
      </c>
      <c r="F1159" t="s">
        <v>27</v>
      </c>
      <c r="G1159" t="s">
        <v>17</v>
      </c>
      <c r="H1159">
        <v>2</v>
      </c>
      <c r="I1159" s="12">
        <v>982.49</v>
      </c>
      <c r="J1159" s="12">
        <v>0</v>
      </c>
      <c r="K1159" s="9">
        <v>1964.97</v>
      </c>
      <c r="L1159" s="9">
        <v>453.49</v>
      </c>
      <c r="M1159" s="9">
        <f t="shared" si="18"/>
        <v>0</v>
      </c>
    </row>
    <row r="1160" spans="1:13" x14ac:dyDescent="0.3">
      <c r="A1160" t="s">
        <v>1489</v>
      </c>
      <c r="B1160" s="1">
        <v>46007</v>
      </c>
      <c r="C1160" t="s">
        <v>277</v>
      </c>
      <c r="D1160" t="s">
        <v>14</v>
      </c>
      <c r="E1160" t="s">
        <v>110</v>
      </c>
      <c r="F1160" t="s">
        <v>42</v>
      </c>
      <c r="G1160" t="s">
        <v>22</v>
      </c>
      <c r="H1160">
        <v>3</v>
      </c>
      <c r="I1160" s="12">
        <v>22.82</v>
      </c>
      <c r="J1160" s="12">
        <v>0</v>
      </c>
      <c r="K1160" s="9">
        <v>68.459999999999994</v>
      </c>
      <c r="L1160" s="9">
        <v>6.43</v>
      </c>
      <c r="M1160" s="9">
        <f t="shared" si="18"/>
        <v>0</v>
      </c>
    </row>
    <row r="1161" spans="1:13" x14ac:dyDescent="0.3">
      <c r="A1161" t="s">
        <v>1490</v>
      </c>
      <c r="B1161" s="1">
        <v>46007</v>
      </c>
      <c r="C1161" t="s">
        <v>625</v>
      </c>
      <c r="D1161" t="s">
        <v>25</v>
      </c>
      <c r="E1161" t="s">
        <v>20</v>
      </c>
      <c r="F1161" t="s">
        <v>21</v>
      </c>
      <c r="G1161" t="s">
        <v>28</v>
      </c>
      <c r="H1161">
        <v>1</v>
      </c>
      <c r="I1161" s="12">
        <v>165.73</v>
      </c>
      <c r="J1161" s="12">
        <v>0.15</v>
      </c>
      <c r="K1161" s="9">
        <v>140.87</v>
      </c>
      <c r="L1161" s="9">
        <v>31.22</v>
      </c>
      <c r="M1161" s="9">
        <f t="shared" si="18"/>
        <v>24.859499999999997</v>
      </c>
    </row>
    <row r="1162" spans="1:13" x14ac:dyDescent="0.3">
      <c r="A1162" t="s">
        <v>1491</v>
      </c>
      <c r="B1162" s="1">
        <v>46007</v>
      </c>
      <c r="C1162" t="s">
        <v>159</v>
      </c>
      <c r="D1162" t="s">
        <v>40</v>
      </c>
      <c r="E1162" t="s">
        <v>41</v>
      </c>
      <c r="F1162" t="s">
        <v>42</v>
      </c>
      <c r="G1162" t="s">
        <v>28</v>
      </c>
      <c r="H1162">
        <v>3</v>
      </c>
      <c r="I1162" s="12">
        <v>49.95</v>
      </c>
      <c r="J1162" s="12">
        <v>0.05</v>
      </c>
      <c r="K1162" s="9">
        <v>142.35</v>
      </c>
      <c r="L1162" s="9">
        <v>18.670000000000002</v>
      </c>
      <c r="M1162" s="9">
        <f t="shared" si="18"/>
        <v>7.4925000000000015</v>
      </c>
    </row>
    <row r="1163" spans="1:13" x14ac:dyDescent="0.3">
      <c r="A1163" t="s">
        <v>1492</v>
      </c>
      <c r="B1163" s="1">
        <v>46008</v>
      </c>
      <c r="C1163" t="s">
        <v>912</v>
      </c>
      <c r="D1163" t="s">
        <v>25</v>
      </c>
      <c r="E1163" t="s">
        <v>41</v>
      </c>
      <c r="F1163" t="s">
        <v>42</v>
      </c>
      <c r="G1163" t="s">
        <v>22</v>
      </c>
      <c r="H1163">
        <v>5</v>
      </c>
      <c r="I1163" s="12">
        <v>57.47</v>
      </c>
      <c r="J1163" s="12">
        <v>0</v>
      </c>
      <c r="K1163" s="9">
        <v>287.37</v>
      </c>
      <c r="L1163" s="9">
        <v>53.96</v>
      </c>
      <c r="M1163" s="9">
        <f t="shared" si="18"/>
        <v>0</v>
      </c>
    </row>
    <row r="1164" spans="1:13" x14ac:dyDescent="0.3">
      <c r="A1164" t="s">
        <v>1493</v>
      </c>
      <c r="B1164" s="1">
        <v>46008</v>
      </c>
      <c r="C1164" t="s">
        <v>58</v>
      </c>
      <c r="D1164" t="s">
        <v>40</v>
      </c>
      <c r="E1164" t="s">
        <v>65</v>
      </c>
      <c r="F1164" t="s">
        <v>16</v>
      </c>
      <c r="G1164" t="s">
        <v>28</v>
      </c>
      <c r="H1164">
        <v>5</v>
      </c>
      <c r="I1164" s="12">
        <v>18.16</v>
      </c>
      <c r="J1164" s="12">
        <v>0.05</v>
      </c>
      <c r="K1164" s="9">
        <v>86.25</v>
      </c>
      <c r="L1164" s="9">
        <v>12.81</v>
      </c>
      <c r="M1164" s="9">
        <f t="shared" si="18"/>
        <v>4.54</v>
      </c>
    </row>
    <row r="1165" spans="1:13" x14ac:dyDescent="0.3">
      <c r="A1165" t="s">
        <v>1494</v>
      </c>
      <c r="B1165" s="1">
        <v>46008</v>
      </c>
      <c r="C1165" t="s">
        <v>364</v>
      </c>
      <c r="D1165" t="s">
        <v>40</v>
      </c>
      <c r="E1165" t="s">
        <v>31</v>
      </c>
      <c r="F1165" t="s">
        <v>21</v>
      </c>
      <c r="G1165" t="s">
        <v>28</v>
      </c>
      <c r="H1165">
        <v>1</v>
      </c>
      <c r="I1165" s="12">
        <v>42.23</v>
      </c>
      <c r="J1165" s="12">
        <v>0.05</v>
      </c>
      <c r="K1165" s="9">
        <v>40.119999999999997</v>
      </c>
      <c r="L1165" s="9">
        <v>8.1</v>
      </c>
      <c r="M1165" s="9">
        <f t="shared" si="18"/>
        <v>2.1114999999999999</v>
      </c>
    </row>
    <row r="1166" spans="1:13" x14ac:dyDescent="0.3">
      <c r="A1166" t="s">
        <v>1495</v>
      </c>
      <c r="B1166" s="1">
        <v>46008</v>
      </c>
      <c r="C1166" t="s">
        <v>778</v>
      </c>
      <c r="D1166" t="s">
        <v>25</v>
      </c>
      <c r="E1166" t="s">
        <v>54</v>
      </c>
      <c r="F1166" t="s">
        <v>27</v>
      </c>
      <c r="G1166" t="s">
        <v>28</v>
      </c>
      <c r="H1166">
        <v>1</v>
      </c>
      <c r="I1166" s="12">
        <v>26.72</v>
      </c>
      <c r="J1166" s="12">
        <v>0.1</v>
      </c>
      <c r="K1166" s="9">
        <v>24.05</v>
      </c>
      <c r="L1166" s="9">
        <v>2.41</v>
      </c>
      <c r="M1166" s="9">
        <f t="shared" si="18"/>
        <v>2.6720000000000002</v>
      </c>
    </row>
    <row r="1167" spans="1:13" x14ac:dyDescent="0.3">
      <c r="A1167" t="s">
        <v>1496</v>
      </c>
      <c r="B1167" s="1">
        <v>46008</v>
      </c>
      <c r="C1167" t="s">
        <v>416</v>
      </c>
      <c r="D1167" t="s">
        <v>25</v>
      </c>
      <c r="E1167" t="s">
        <v>31</v>
      </c>
      <c r="F1167" t="s">
        <v>21</v>
      </c>
      <c r="G1167" t="s">
        <v>32</v>
      </c>
      <c r="H1167">
        <v>2</v>
      </c>
      <c r="I1167" s="12">
        <v>39.159999999999997</v>
      </c>
      <c r="J1167" s="12">
        <v>0.05</v>
      </c>
      <c r="K1167" s="9">
        <v>74.400000000000006</v>
      </c>
      <c r="L1167" s="9">
        <v>15.31</v>
      </c>
      <c r="M1167" s="9">
        <f t="shared" si="18"/>
        <v>3.9159999999999999</v>
      </c>
    </row>
    <row r="1168" spans="1:13" x14ac:dyDescent="0.3">
      <c r="A1168" t="s">
        <v>1497</v>
      </c>
      <c r="B1168" s="1">
        <v>46009</v>
      </c>
      <c r="C1168" t="s">
        <v>1127</v>
      </c>
      <c r="D1168" t="s">
        <v>40</v>
      </c>
      <c r="E1168" t="s">
        <v>31</v>
      </c>
      <c r="F1168" t="s">
        <v>21</v>
      </c>
      <c r="G1168" t="s">
        <v>28</v>
      </c>
      <c r="H1168">
        <v>3</v>
      </c>
      <c r="I1168" s="12">
        <v>44.35</v>
      </c>
      <c r="J1168" s="12">
        <v>0.05</v>
      </c>
      <c r="K1168" s="9">
        <v>126.39</v>
      </c>
      <c r="L1168" s="9">
        <v>8.8000000000000007</v>
      </c>
      <c r="M1168" s="9">
        <f t="shared" si="18"/>
        <v>6.6525000000000007</v>
      </c>
    </row>
    <row r="1169" spans="1:13" x14ac:dyDescent="0.3">
      <c r="A1169" t="s">
        <v>1498</v>
      </c>
      <c r="B1169" s="1">
        <v>46009</v>
      </c>
      <c r="C1169" t="s">
        <v>184</v>
      </c>
      <c r="D1169" t="s">
        <v>14</v>
      </c>
      <c r="E1169" t="s">
        <v>37</v>
      </c>
      <c r="F1169" t="s">
        <v>27</v>
      </c>
      <c r="G1169" t="s">
        <v>17</v>
      </c>
      <c r="H1169">
        <v>3</v>
      </c>
      <c r="I1169" s="12">
        <v>218.56</v>
      </c>
      <c r="J1169" s="12">
        <v>0</v>
      </c>
      <c r="K1169" s="9">
        <v>655.67</v>
      </c>
      <c r="L1169" s="9">
        <v>179.69</v>
      </c>
      <c r="M1169" s="9">
        <f t="shared" si="18"/>
        <v>0</v>
      </c>
    </row>
    <row r="1170" spans="1:13" x14ac:dyDescent="0.3">
      <c r="A1170" t="s">
        <v>1499</v>
      </c>
      <c r="B1170" s="1">
        <v>46009</v>
      </c>
      <c r="C1170" t="s">
        <v>801</v>
      </c>
      <c r="D1170" t="s">
        <v>25</v>
      </c>
      <c r="E1170" t="s">
        <v>15</v>
      </c>
      <c r="F1170" t="s">
        <v>16</v>
      </c>
      <c r="G1170" t="s">
        <v>32</v>
      </c>
      <c r="H1170">
        <v>2</v>
      </c>
      <c r="I1170" s="12">
        <v>14.35</v>
      </c>
      <c r="J1170" s="12">
        <v>0.05</v>
      </c>
      <c r="K1170" s="9">
        <v>27.27</v>
      </c>
      <c r="L1170" s="9">
        <v>7.03</v>
      </c>
      <c r="M1170" s="9">
        <f t="shared" si="18"/>
        <v>1.4350000000000001</v>
      </c>
    </row>
    <row r="1171" spans="1:13" x14ac:dyDescent="0.3">
      <c r="A1171" t="s">
        <v>1500</v>
      </c>
      <c r="B1171" s="1">
        <v>46010</v>
      </c>
      <c r="C1171" t="s">
        <v>966</v>
      </c>
      <c r="D1171" t="s">
        <v>14</v>
      </c>
      <c r="E1171" t="s">
        <v>41</v>
      </c>
      <c r="F1171" t="s">
        <v>42</v>
      </c>
      <c r="G1171" t="s">
        <v>32</v>
      </c>
      <c r="H1171">
        <v>3</v>
      </c>
      <c r="I1171" s="12">
        <v>60.37</v>
      </c>
      <c r="J1171" s="12">
        <v>0.1</v>
      </c>
      <c r="K1171" s="9">
        <v>163.01</v>
      </c>
      <c r="L1171" s="9">
        <v>21.67</v>
      </c>
      <c r="M1171" s="9">
        <f t="shared" si="18"/>
        <v>18.111000000000001</v>
      </c>
    </row>
    <row r="1172" spans="1:13" x14ac:dyDescent="0.3">
      <c r="A1172" t="s">
        <v>1501</v>
      </c>
      <c r="B1172" s="1">
        <v>46010</v>
      </c>
      <c r="C1172" t="s">
        <v>659</v>
      </c>
      <c r="D1172" t="s">
        <v>14</v>
      </c>
      <c r="E1172" t="s">
        <v>54</v>
      </c>
      <c r="F1172" t="s">
        <v>27</v>
      </c>
      <c r="G1172" t="s">
        <v>22</v>
      </c>
      <c r="H1172">
        <v>3</v>
      </c>
      <c r="I1172" s="12">
        <v>27.84</v>
      </c>
      <c r="J1172" s="12">
        <v>0.05</v>
      </c>
      <c r="K1172" s="9">
        <v>79.33</v>
      </c>
      <c r="L1172" s="9">
        <v>6.42</v>
      </c>
      <c r="M1172" s="9">
        <f t="shared" si="18"/>
        <v>4.1760000000000002</v>
      </c>
    </row>
    <row r="1173" spans="1:13" x14ac:dyDescent="0.3">
      <c r="A1173" t="s">
        <v>1502</v>
      </c>
      <c r="B1173" s="1">
        <v>46010</v>
      </c>
      <c r="C1173" t="s">
        <v>784</v>
      </c>
      <c r="D1173" t="s">
        <v>14</v>
      </c>
      <c r="E1173" t="s">
        <v>15</v>
      </c>
      <c r="F1173" t="s">
        <v>16</v>
      </c>
      <c r="G1173" t="s">
        <v>28</v>
      </c>
      <c r="H1173">
        <v>4</v>
      </c>
      <c r="I1173" s="12">
        <v>13.54</v>
      </c>
      <c r="J1173" s="12">
        <v>0.05</v>
      </c>
      <c r="K1173" s="9">
        <v>51.45</v>
      </c>
      <c r="L1173" s="9">
        <v>11.82</v>
      </c>
      <c r="M1173" s="9">
        <f t="shared" si="18"/>
        <v>2.7080000000000002</v>
      </c>
    </row>
    <row r="1174" spans="1:13" x14ac:dyDescent="0.3">
      <c r="A1174" t="s">
        <v>1503</v>
      </c>
      <c r="B1174" s="1">
        <v>46011</v>
      </c>
      <c r="C1174" t="s">
        <v>212</v>
      </c>
      <c r="D1174" t="s">
        <v>25</v>
      </c>
      <c r="E1174" t="s">
        <v>31</v>
      </c>
      <c r="F1174" t="s">
        <v>21</v>
      </c>
      <c r="G1174" t="s">
        <v>28</v>
      </c>
      <c r="H1174">
        <v>1</v>
      </c>
      <c r="I1174" s="12">
        <v>39.6</v>
      </c>
      <c r="J1174" s="12">
        <v>0.05</v>
      </c>
      <c r="K1174" s="9">
        <v>37.619999999999997</v>
      </c>
      <c r="L1174" s="9">
        <v>5.07</v>
      </c>
      <c r="M1174" s="9">
        <f t="shared" si="18"/>
        <v>1.9800000000000002</v>
      </c>
    </row>
    <row r="1175" spans="1:13" x14ac:dyDescent="0.3">
      <c r="A1175" t="s">
        <v>1504</v>
      </c>
      <c r="B1175" s="1">
        <v>46013</v>
      </c>
      <c r="C1175" t="s">
        <v>34</v>
      </c>
      <c r="D1175" t="s">
        <v>14</v>
      </c>
      <c r="E1175" t="s">
        <v>26</v>
      </c>
      <c r="F1175" t="s">
        <v>27</v>
      </c>
      <c r="G1175" t="s">
        <v>17</v>
      </c>
      <c r="H1175">
        <v>1</v>
      </c>
      <c r="I1175" s="12">
        <v>68.83</v>
      </c>
      <c r="J1175" s="12">
        <v>0.05</v>
      </c>
      <c r="K1175" s="9">
        <v>65.39</v>
      </c>
      <c r="L1175" s="9">
        <v>7.33</v>
      </c>
      <c r="M1175" s="9">
        <f t="shared" si="18"/>
        <v>3.4415</v>
      </c>
    </row>
    <row r="1176" spans="1:13" x14ac:dyDescent="0.3">
      <c r="A1176" t="s">
        <v>1505</v>
      </c>
      <c r="B1176" s="1">
        <v>46014</v>
      </c>
      <c r="C1176" t="s">
        <v>861</v>
      </c>
      <c r="D1176" t="s">
        <v>14</v>
      </c>
      <c r="E1176" t="s">
        <v>110</v>
      </c>
      <c r="F1176" t="s">
        <v>42</v>
      </c>
      <c r="G1176" t="s">
        <v>32</v>
      </c>
      <c r="H1176">
        <v>3</v>
      </c>
      <c r="I1176" s="12">
        <v>20.92</v>
      </c>
      <c r="J1176" s="12">
        <v>0</v>
      </c>
      <c r="K1176" s="9">
        <v>62.75</v>
      </c>
      <c r="L1176" s="9">
        <v>12.8</v>
      </c>
      <c r="M1176" s="9">
        <f t="shared" si="18"/>
        <v>0</v>
      </c>
    </row>
    <row r="1177" spans="1:13" x14ac:dyDescent="0.3">
      <c r="A1177" t="s">
        <v>1506</v>
      </c>
      <c r="B1177" s="1">
        <v>46014</v>
      </c>
      <c r="C1177" t="s">
        <v>302</v>
      </c>
      <c r="D1177" t="s">
        <v>14</v>
      </c>
      <c r="E1177" t="s">
        <v>92</v>
      </c>
      <c r="F1177" t="s">
        <v>16</v>
      </c>
      <c r="G1177" t="s">
        <v>22</v>
      </c>
      <c r="H1177">
        <v>1</v>
      </c>
      <c r="I1177" s="12">
        <v>9.16</v>
      </c>
      <c r="J1177" s="12">
        <v>0</v>
      </c>
      <c r="K1177" s="9">
        <v>9.16</v>
      </c>
      <c r="L1177" s="9">
        <v>1.69</v>
      </c>
      <c r="M1177" s="9">
        <f t="shared" si="18"/>
        <v>0</v>
      </c>
    </row>
    <row r="1178" spans="1:13" x14ac:dyDescent="0.3">
      <c r="A1178" t="s">
        <v>1507</v>
      </c>
      <c r="B1178" s="1">
        <v>46014</v>
      </c>
      <c r="C1178" t="s">
        <v>571</v>
      </c>
      <c r="D1178" t="s">
        <v>14</v>
      </c>
      <c r="E1178" t="s">
        <v>31</v>
      </c>
      <c r="F1178" t="s">
        <v>21</v>
      </c>
      <c r="G1178" t="s">
        <v>32</v>
      </c>
      <c r="H1178">
        <v>1</v>
      </c>
      <c r="I1178" s="12">
        <v>40.15</v>
      </c>
      <c r="J1178" s="12">
        <v>0.1</v>
      </c>
      <c r="K1178" s="9">
        <v>36.130000000000003</v>
      </c>
      <c r="L1178" s="9">
        <v>3.46</v>
      </c>
      <c r="M1178" s="9">
        <f t="shared" si="18"/>
        <v>4.0149999999999997</v>
      </c>
    </row>
    <row r="1179" spans="1:13" x14ac:dyDescent="0.3">
      <c r="A1179" t="s">
        <v>1508</v>
      </c>
      <c r="B1179" s="1">
        <v>46015</v>
      </c>
      <c r="C1179" t="s">
        <v>207</v>
      </c>
      <c r="D1179" t="s">
        <v>25</v>
      </c>
      <c r="E1179" t="s">
        <v>41</v>
      </c>
      <c r="F1179" t="s">
        <v>42</v>
      </c>
      <c r="G1179" t="s">
        <v>17</v>
      </c>
      <c r="H1179">
        <v>1</v>
      </c>
      <c r="I1179" s="12">
        <v>50.13</v>
      </c>
      <c r="J1179" s="12">
        <v>0</v>
      </c>
      <c r="K1179" s="9">
        <v>50.13</v>
      </c>
      <c r="L1179" s="9">
        <v>11.7</v>
      </c>
      <c r="M1179" s="9">
        <f t="shared" si="18"/>
        <v>0</v>
      </c>
    </row>
    <row r="1180" spans="1:13" x14ac:dyDescent="0.3">
      <c r="A1180" t="s">
        <v>1509</v>
      </c>
      <c r="B1180" s="1">
        <v>46015</v>
      </c>
      <c r="C1180" t="s">
        <v>419</v>
      </c>
      <c r="D1180" t="s">
        <v>14</v>
      </c>
      <c r="E1180" t="s">
        <v>54</v>
      </c>
      <c r="F1180" t="s">
        <v>27</v>
      </c>
      <c r="G1180" t="s">
        <v>32</v>
      </c>
      <c r="H1180">
        <v>2</v>
      </c>
      <c r="I1180" s="12">
        <v>30.52</v>
      </c>
      <c r="J1180" s="12">
        <v>0</v>
      </c>
      <c r="K1180" s="9">
        <v>61.05</v>
      </c>
      <c r="L1180" s="9">
        <v>16.850000000000001</v>
      </c>
      <c r="M1180" s="9">
        <f t="shared" si="18"/>
        <v>0</v>
      </c>
    </row>
    <row r="1181" spans="1:13" x14ac:dyDescent="0.3">
      <c r="A1181" t="s">
        <v>1510</v>
      </c>
      <c r="B1181" s="1">
        <v>46015</v>
      </c>
      <c r="C1181" t="s">
        <v>494</v>
      </c>
      <c r="D1181" t="s">
        <v>25</v>
      </c>
      <c r="E1181" t="s">
        <v>54</v>
      </c>
      <c r="F1181" t="s">
        <v>27</v>
      </c>
      <c r="G1181" t="s">
        <v>28</v>
      </c>
      <c r="H1181">
        <v>1</v>
      </c>
      <c r="I1181" s="12">
        <v>28.48</v>
      </c>
      <c r="J1181" s="12">
        <v>0.1</v>
      </c>
      <c r="K1181" s="9">
        <v>25.64</v>
      </c>
      <c r="L1181" s="9">
        <v>2.63</v>
      </c>
      <c r="M1181" s="9">
        <f t="shared" si="18"/>
        <v>2.8480000000000003</v>
      </c>
    </row>
    <row r="1182" spans="1:13" x14ac:dyDescent="0.3">
      <c r="A1182" t="s">
        <v>1511</v>
      </c>
      <c r="B1182" s="1">
        <v>46016</v>
      </c>
      <c r="C1182" t="s">
        <v>134</v>
      </c>
      <c r="D1182" t="s">
        <v>25</v>
      </c>
      <c r="E1182" t="s">
        <v>65</v>
      </c>
      <c r="F1182" t="s">
        <v>16</v>
      </c>
      <c r="G1182" t="s">
        <v>32</v>
      </c>
      <c r="H1182">
        <v>1</v>
      </c>
      <c r="I1182" s="12">
        <v>17.78</v>
      </c>
      <c r="J1182" s="12">
        <v>0.05</v>
      </c>
      <c r="K1182" s="9">
        <v>16.89</v>
      </c>
      <c r="L1182" s="9">
        <v>3.74</v>
      </c>
      <c r="M1182" s="9">
        <f t="shared" si="18"/>
        <v>0.88900000000000012</v>
      </c>
    </row>
    <row r="1183" spans="1:13" x14ac:dyDescent="0.3">
      <c r="A1183" t="s">
        <v>1512</v>
      </c>
      <c r="B1183" s="1">
        <v>46016</v>
      </c>
      <c r="C1183" t="s">
        <v>875</v>
      </c>
      <c r="D1183" t="s">
        <v>14</v>
      </c>
      <c r="E1183" t="s">
        <v>15</v>
      </c>
      <c r="F1183" t="s">
        <v>16</v>
      </c>
      <c r="G1183" t="s">
        <v>22</v>
      </c>
      <c r="H1183">
        <v>1</v>
      </c>
      <c r="I1183" s="12">
        <v>12.8</v>
      </c>
      <c r="J1183" s="12">
        <v>0.05</v>
      </c>
      <c r="K1183" s="9">
        <v>12.16</v>
      </c>
      <c r="L1183" s="9">
        <v>2.8</v>
      </c>
      <c r="M1183" s="9">
        <f t="shared" si="18"/>
        <v>0.64000000000000012</v>
      </c>
    </row>
    <row r="1184" spans="1:13" x14ac:dyDescent="0.3">
      <c r="A1184" t="s">
        <v>1513</v>
      </c>
      <c r="B1184" s="1">
        <v>46016</v>
      </c>
      <c r="C1184" t="s">
        <v>523</v>
      </c>
      <c r="D1184" t="s">
        <v>25</v>
      </c>
      <c r="E1184" t="s">
        <v>92</v>
      </c>
      <c r="F1184" t="s">
        <v>16</v>
      </c>
      <c r="G1184" t="s">
        <v>32</v>
      </c>
      <c r="H1184">
        <v>5</v>
      </c>
      <c r="I1184" s="12">
        <v>8.41</v>
      </c>
      <c r="J1184" s="12">
        <v>0.05</v>
      </c>
      <c r="K1184" s="9">
        <v>39.94</v>
      </c>
      <c r="L1184" s="9">
        <v>5.07</v>
      </c>
      <c r="M1184" s="9">
        <f t="shared" si="18"/>
        <v>2.1025</v>
      </c>
    </row>
    <row r="1185" spans="1:13" x14ac:dyDescent="0.3">
      <c r="A1185" t="s">
        <v>1514</v>
      </c>
      <c r="B1185" s="1">
        <v>46017</v>
      </c>
      <c r="C1185" t="s">
        <v>801</v>
      </c>
      <c r="D1185" t="s">
        <v>14</v>
      </c>
      <c r="E1185" t="s">
        <v>15</v>
      </c>
      <c r="F1185" t="s">
        <v>16</v>
      </c>
      <c r="G1185" t="s">
        <v>22</v>
      </c>
      <c r="H1185">
        <v>3</v>
      </c>
      <c r="I1185" s="12">
        <v>12.6</v>
      </c>
      <c r="J1185" s="12">
        <v>0.15</v>
      </c>
      <c r="K1185" s="9">
        <v>32.14</v>
      </c>
      <c r="L1185" s="9">
        <v>7.78</v>
      </c>
      <c r="M1185" s="9">
        <f t="shared" si="18"/>
        <v>5.669999999999999</v>
      </c>
    </row>
    <row r="1186" spans="1:13" x14ac:dyDescent="0.3">
      <c r="A1186" t="s">
        <v>1515</v>
      </c>
      <c r="B1186" s="1">
        <v>46017</v>
      </c>
      <c r="C1186" t="s">
        <v>306</v>
      </c>
      <c r="D1186" t="s">
        <v>14</v>
      </c>
      <c r="E1186" t="s">
        <v>31</v>
      </c>
      <c r="F1186" t="s">
        <v>21</v>
      </c>
      <c r="G1186" t="s">
        <v>17</v>
      </c>
      <c r="H1186">
        <v>2</v>
      </c>
      <c r="I1186" s="12">
        <v>38.369999999999997</v>
      </c>
      <c r="J1186" s="12">
        <v>0.05</v>
      </c>
      <c r="K1186" s="9">
        <v>72.900000000000006</v>
      </c>
      <c r="L1186" s="9">
        <v>17.309999999999999</v>
      </c>
      <c r="M1186" s="9">
        <f t="shared" si="18"/>
        <v>3.8369999999999997</v>
      </c>
    </row>
    <row r="1187" spans="1:13" x14ac:dyDescent="0.3">
      <c r="A1187" t="s">
        <v>1516</v>
      </c>
      <c r="B1187" s="1">
        <v>46018</v>
      </c>
      <c r="C1187" t="s">
        <v>259</v>
      </c>
      <c r="D1187" t="s">
        <v>14</v>
      </c>
      <c r="E1187" t="s">
        <v>92</v>
      </c>
      <c r="F1187" t="s">
        <v>16</v>
      </c>
      <c r="G1187" t="s">
        <v>32</v>
      </c>
      <c r="H1187">
        <v>5</v>
      </c>
      <c r="I1187" s="12">
        <v>9.09</v>
      </c>
      <c r="J1187" s="12">
        <v>0</v>
      </c>
      <c r="K1187" s="9">
        <v>45.43</v>
      </c>
      <c r="L1187" s="9">
        <v>12.53</v>
      </c>
      <c r="M1187" s="9">
        <f t="shared" si="18"/>
        <v>0</v>
      </c>
    </row>
    <row r="1188" spans="1:13" x14ac:dyDescent="0.3">
      <c r="A1188" t="s">
        <v>1517</v>
      </c>
      <c r="B1188" s="1">
        <v>46018</v>
      </c>
      <c r="C1188" t="s">
        <v>738</v>
      </c>
      <c r="D1188" t="s">
        <v>40</v>
      </c>
      <c r="E1188" t="s">
        <v>20</v>
      </c>
      <c r="F1188" t="s">
        <v>21</v>
      </c>
      <c r="G1188" t="s">
        <v>17</v>
      </c>
      <c r="H1188">
        <v>2</v>
      </c>
      <c r="I1188" s="12">
        <v>166.85</v>
      </c>
      <c r="J1188" s="12">
        <v>0.05</v>
      </c>
      <c r="K1188" s="9">
        <v>317.02</v>
      </c>
      <c r="L1188" s="9">
        <v>54.04</v>
      </c>
      <c r="M1188" s="9">
        <f t="shared" si="18"/>
        <v>16.684999999999999</v>
      </c>
    </row>
    <row r="1189" spans="1:13" x14ac:dyDescent="0.3">
      <c r="A1189" t="s">
        <v>1518</v>
      </c>
      <c r="B1189" s="1">
        <v>46018</v>
      </c>
      <c r="C1189" t="s">
        <v>271</v>
      </c>
      <c r="D1189" t="s">
        <v>14</v>
      </c>
      <c r="E1189" t="s">
        <v>37</v>
      </c>
      <c r="F1189" t="s">
        <v>27</v>
      </c>
      <c r="G1189" t="s">
        <v>17</v>
      </c>
      <c r="H1189">
        <v>2</v>
      </c>
      <c r="I1189" s="12">
        <v>203.43</v>
      </c>
      <c r="J1189" s="12">
        <v>0.15</v>
      </c>
      <c r="K1189" s="9">
        <v>345.83</v>
      </c>
      <c r="L1189" s="9">
        <v>79.44</v>
      </c>
      <c r="M1189" s="9">
        <f t="shared" si="18"/>
        <v>61.028999999999996</v>
      </c>
    </row>
    <row r="1190" spans="1:13" x14ac:dyDescent="0.3">
      <c r="A1190" t="s">
        <v>1519</v>
      </c>
      <c r="B1190" s="1">
        <v>46019</v>
      </c>
      <c r="C1190" t="s">
        <v>537</v>
      </c>
      <c r="D1190" t="s">
        <v>40</v>
      </c>
      <c r="E1190" t="s">
        <v>41</v>
      </c>
      <c r="F1190" t="s">
        <v>42</v>
      </c>
      <c r="G1190" t="s">
        <v>32</v>
      </c>
      <c r="H1190">
        <v>2</v>
      </c>
      <c r="I1190" s="12">
        <v>55.92</v>
      </c>
      <c r="J1190" s="12">
        <v>0.1</v>
      </c>
      <c r="K1190" s="9">
        <v>100.66</v>
      </c>
      <c r="L1190" s="9">
        <v>7.05</v>
      </c>
      <c r="M1190" s="9">
        <f t="shared" si="18"/>
        <v>11.184000000000001</v>
      </c>
    </row>
    <row r="1191" spans="1:13" x14ac:dyDescent="0.3">
      <c r="A1191" t="s">
        <v>1520</v>
      </c>
      <c r="B1191" s="1">
        <v>46020</v>
      </c>
      <c r="C1191" t="s">
        <v>72</v>
      </c>
      <c r="D1191" t="s">
        <v>40</v>
      </c>
      <c r="E1191" t="s">
        <v>92</v>
      </c>
      <c r="F1191" t="s">
        <v>16</v>
      </c>
      <c r="G1191" t="s">
        <v>22</v>
      </c>
      <c r="H1191">
        <v>2</v>
      </c>
      <c r="I1191" s="12">
        <v>9.35</v>
      </c>
      <c r="J1191" s="12">
        <v>0</v>
      </c>
      <c r="K1191" s="9">
        <v>18.71</v>
      </c>
      <c r="L1191" s="9">
        <v>2.9</v>
      </c>
      <c r="M1191" s="9">
        <f t="shared" si="18"/>
        <v>0</v>
      </c>
    </row>
    <row r="1192" spans="1:13" x14ac:dyDescent="0.3">
      <c r="A1192" t="s">
        <v>1521</v>
      </c>
      <c r="B1192" s="1">
        <v>46020</v>
      </c>
      <c r="C1192" t="s">
        <v>60</v>
      </c>
      <c r="D1192" t="s">
        <v>14</v>
      </c>
      <c r="E1192" t="s">
        <v>20</v>
      </c>
      <c r="F1192" t="s">
        <v>21</v>
      </c>
      <c r="G1192" t="s">
        <v>22</v>
      </c>
      <c r="H1192">
        <v>3</v>
      </c>
      <c r="I1192" s="12">
        <v>180.27</v>
      </c>
      <c r="J1192" s="12">
        <v>0.15</v>
      </c>
      <c r="K1192" s="9">
        <v>459.69</v>
      </c>
      <c r="L1192" s="9">
        <v>24.05</v>
      </c>
      <c r="M1192" s="9">
        <f t="shared" si="18"/>
        <v>81.121500000000012</v>
      </c>
    </row>
    <row r="1193" spans="1:13" x14ac:dyDescent="0.3">
      <c r="A1193" t="s">
        <v>1522</v>
      </c>
      <c r="B1193" s="1">
        <v>46021</v>
      </c>
      <c r="C1193" t="s">
        <v>281</v>
      </c>
      <c r="D1193" t="s">
        <v>25</v>
      </c>
      <c r="E1193" t="s">
        <v>51</v>
      </c>
      <c r="F1193" t="s">
        <v>27</v>
      </c>
      <c r="G1193" t="s">
        <v>28</v>
      </c>
      <c r="H1193">
        <v>2</v>
      </c>
      <c r="I1193" s="12">
        <v>895.61</v>
      </c>
      <c r="J1193" s="12">
        <v>0.1</v>
      </c>
      <c r="K1193" s="9">
        <v>1612.1</v>
      </c>
      <c r="L1193" s="9">
        <v>306.45</v>
      </c>
      <c r="M1193" s="9">
        <f t="shared" si="18"/>
        <v>179.12200000000001</v>
      </c>
    </row>
    <row r="1194" spans="1:13" x14ac:dyDescent="0.3">
      <c r="A1194" t="s">
        <v>1523</v>
      </c>
      <c r="B1194" s="1">
        <v>46021</v>
      </c>
      <c r="C1194" t="s">
        <v>508</v>
      </c>
      <c r="D1194" t="s">
        <v>14</v>
      </c>
      <c r="E1194" t="s">
        <v>31</v>
      </c>
      <c r="F1194" t="s">
        <v>21</v>
      </c>
      <c r="G1194" t="s">
        <v>28</v>
      </c>
      <c r="H1194">
        <v>4</v>
      </c>
      <c r="I1194" s="12">
        <v>41.58</v>
      </c>
      <c r="J1194" s="12">
        <v>0.1</v>
      </c>
      <c r="K1194" s="9">
        <v>149.69999999999999</v>
      </c>
      <c r="L1194" s="9">
        <v>8.01</v>
      </c>
      <c r="M1194" s="9">
        <f t="shared" si="18"/>
        <v>16.632000000000001</v>
      </c>
    </row>
    <row r="1195" spans="1:13" x14ac:dyDescent="0.3">
      <c r="A1195" t="s">
        <v>1524</v>
      </c>
      <c r="B1195" s="1">
        <v>46021</v>
      </c>
      <c r="C1195" t="s">
        <v>236</v>
      </c>
      <c r="D1195" t="s">
        <v>40</v>
      </c>
      <c r="E1195" t="s">
        <v>41</v>
      </c>
      <c r="F1195" t="s">
        <v>42</v>
      </c>
      <c r="G1195" t="s">
        <v>32</v>
      </c>
      <c r="H1195">
        <v>2</v>
      </c>
      <c r="I1195" s="12">
        <v>51.73</v>
      </c>
      <c r="J1195" s="12">
        <v>0.1</v>
      </c>
      <c r="K1195" s="9">
        <v>93.12</v>
      </c>
      <c r="L1195" s="9">
        <v>18.55</v>
      </c>
      <c r="M1195" s="9">
        <f t="shared" si="18"/>
        <v>10.346</v>
      </c>
    </row>
    <row r="1196" spans="1:13" x14ac:dyDescent="0.3">
      <c r="A1196" t="s">
        <v>1525</v>
      </c>
      <c r="B1196" s="1">
        <v>46021</v>
      </c>
      <c r="C1196" t="s">
        <v>565</v>
      </c>
      <c r="D1196" t="s">
        <v>14</v>
      </c>
      <c r="E1196" t="s">
        <v>20</v>
      </c>
      <c r="F1196" t="s">
        <v>21</v>
      </c>
      <c r="G1196" t="s">
        <v>17</v>
      </c>
      <c r="H1196">
        <v>1</v>
      </c>
      <c r="I1196" s="12">
        <v>166.8</v>
      </c>
      <c r="J1196" s="12">
        <v>0</v>
      </c>
      <c r="K1196" s="9">
        <v>166.8</v>
      </c>
      <c r="L1196" s="9">
        <v>35.18</v>
      </c>
      <c r="M1196" s="9">
        <f t="shared" si="18"/>
        <v>0</v>
      </c>
    </row>
    <row r="1197" spans="1:13" x14ac:dyDescent="0.3">
      <c r="A1197" t="s">
        <v>1526</v>
      </c>
      <c r="B1197" s="1">
        <v>46021</v>
      </c>
      <c r="C1197" t="s">
        <v>610</v>
      </c>
      <c r="D1197" t="s">
        <v>40</v>
      </c>
      <c r="E1197" t="s">
        <v>31</v>
      </c>
      <c r="F1197" t="s">
        <v>21</v>
      </c>
      <c r="G1197" t="s">
        <v>28</v>
      </c>
      <c r="H1197">
        <v>4</v>
      </c>
      <c r="I1197" s="12">
        <v>44.25</v>
      </c>
      <c r="J1197" s="12">
        <v>0.05</v>
      </c>
      <c r="K1197" s="9">
        <v>168.15</v>
      </c>
      <c r="L1197" s="9">
        <v>13.4</v>
      </c>
      <c r="M1197" s="9">
        <f t="shared" si="18"/>
        <v>8.85</v>
      </c>
    </row>
    <row r="1198" spans="1:13" x14ac:dyDescent="0.3">
      <c r="A1198" t="s">
        <v>1527</v>
      </c>
      <c r="B1198" s="1">
        <v>46022</v>
      </c>
      <c r="C1198" t="s">
        <v>187</v>
      </c>
      <c r="D1198" t="s">
        <v>14</v>
      </c>
      <c r="E1198" t="s">
        <v>51</v>
      </c>
      <c r="F1198" t="s">
        <v>27</v>
      </c>
      <c r="G1198" t="s">
        <v>32</v>
      </c>
      <c r="H1198">
        <v>4</v>
      </c>
      <c r="I1198" s="12">
        <v>925.7</v>
      </c>
      <c r="J1198" s="12">
        <v>0</v>
      </c>
      <c r="K1198" s="9">
        <v>3702.78</v>
      </c>
      <c r="L1198" s="9">
        <v>858.91</v>
      </c>
      <c r="M1198" s="9">
        <f t="shared" si="18"/>
        <v>0</v>
      </c>
    </row>
    <row r="1199" spans="1:13" x14ac:dyDescent="0.3">
      <c r="A1199" t="s">
        <v>1528</v>
      </c>
      <c r="B1199" s="1">
        <v>46022</v>
      </c>
      <c r="C1199" t="s">
        <v>177</v>
      </c>
      <c r="D1199" t="s">
        <v>25</v>
      </c>
      <c r="E1199" t="s">
        <v>56</v>
      </c>
      <c r="F1199" t="s">
        <v>21</v>
      </c>
      <c r="G1199" t="s">
        <v>32</v>
      </c>
      <c r="H1199">
        <v>1</v>
      </c>
      <c r="I1199" s="12">
        <v>343.79</v>
      </c>
      <c r="J1199" s="12">
        <v>0.15</v>
      </c>
      <c r="K1199" s="9">
        <v>292.23</v>
      </c>
      <c r="L1199" s="9">
        <v>23.82</v>
      </c>
      <c r="M1199" s="9">
        <f t="shared" si="18"/>
        <v>51.5685</v>
      </c>
    </row>
    <row r="1200" spans="1:13" x14ac:dyDescent="0.3">
      <c r="A1200" t="s">
        <v>1529</v>
      </c>
      <c r="B1200" s="1">
        <v>46022</v>
      </c>
      <c r="C1200" t="s">
        <v>251</v>
      </c>
      <c r="D1200" t="s">
        <v>25</v>
      </c>
      <c r="E1200" t="s">
        <v>26</v>
      </c>
      <c r="F1200" t="s">
        <v>27</v>
      </c>
      <c r="G1200" t="s">
        <v>22</v>
      </c>
      <c r="H1200">
        <v>1</v>
      </c>
      <c r="I1200" s="12">
        <v>81.05</v>
      </c>
      <c r="J1200" s="12">
        <v>0.1</v>
      </c>
      <c r="K1200" s="9">
        <v>72.94</v>
      </c>
      <c r="L1200" s="9">
        <v>6.67</v>
      </c>
      <c r="M1200" s="9">
        <f t="shared" si="18"/>
        <v>8.1050000000000004</v>
      </c>
    </row>
    <row r="1201" spans="1:13" x14ac:dyDescent="0.3">
      <c r="A1201" t="s">
        <v>1530</v>
      </c>
      <c r="B1201" s="1">
        <v>46022</v>
      </c>
      <c r="C1201" t="s">
        <v>189</v>
      </c>
      <c r="D1201" t="s">
        <v>40</v>
      </c>
      <c r="E1201" t="s">
        <v>37</v>
      </c>
      <c r="F1201" t="s">
        <v>27</v>
      </c>
      <c r="G1201" t="s">
        <v>17</v>
      </c>
      <c r="H1201">
        <v>1</v>
      </c>
      <c r="I1201" s="12">
        <v>229.72</v>
      </c>
      <c r="J1201" s="12">
        <v>0</v>
      </c>
      <c r="K1201" s="9">
        <v>229.72</v>
      </c>
      <c r="L1201" s="9">
        <v>51.21</v>
      </c>
      <c r="M1201" s="9">
        <f t="shared" si="18"/>
        <v>0</v>
      </c>
    </row>
    <row r="1202" spans="1:13" x14ac:dyDescent="0.3">
      <c r="I1202" s="12"/>
      <c r="J1202" s="12"/>
      <c r="K1202" s="9"/>
      <c r="L1202" s="9"/>
      <c r="M1202" s="9"/>
    </row>
    <row r="1203" spans="1:13" x14ac:dyDescent="0.3">
      <c r="I1203" s="12"/>
      <c r="J1203" s="12"/>
      <c r="K1203" s="9"/>
      <c r="L1203" s="9"/>
      <c r="M1203" s="9"/>
    </row>
    <row r="1204" spans="1:13" x14ac:dyDescent="0.3">
      <c r="I1204" s="12"/>
      <c r="J1204" s="12"/>
      <c r="K1204" s="9"/>
      <c r="L1204" s="9"/>
      <c r="M1204" s="9"/>
    </row>
    <row r="1205" spans="1:13" x14ac:dyDescent="0.3">
      <c r="I1205" s="12"/>
      <c r="J1205" s="12"/>
      <c r="K1205" s="9"/>
      <c r="L1205" s="9"/>
      <c r="M1205" s="9"/>
    </row>
    <row r="1206" spans="1:13" x14ac:dyDescent="0.3">
      <c r="I1206" s="12"/>
      <c r="J1206" s="12"/>
      <c r="K1206" s="9"/>
      <c r="L1206" s="9"/>
      <c r="M1206" s="9"/>
    </row>
    <row r="1207" spans="1:13" x14ac:dyDescent="0.3">
      <c r="I1207" s="12"/>
      <c r="J1207" s="12"/>
      <c r="K1207" s="9"/>
      <c r="L1207" s="9"/>
      <c r="M1207" s="9"/>
    </row>
    <row r="1208" spans="1:13" x14ac:dyDescent="0.3">
      <c r="I1208" s="12"/>
      <c r="J1208" s="12"/>
    </row>
    <row r="1209" spans="1:13" x14ac:dyDescent="0.3">
      <c r="I1209" s="12"/>
      <c r="J1209" s="12"/>
    </row>
    <row r="1210" spans="1:13" x14ac:dyDescent="0.3">
      <c r="I1210" s="12"/>
      <c r="J1210" s="12"/>
    </row>
    <row r="1211" spans="1:13" x14ac:dyDescent="0.3">
      <c r="I1211" s="12"/>
      <c r="J1211" s="12"/>
    </row>
    <row r="1212" spans="1:13" x14ac:dyDescent="0.3">
      <c r="I1212" s="12"/>
      <c r="J1212" s="12"/>
    </row>
    <row r="1213" spans="1:13" x14ac:dyDescent="0.3">
      <c r="I1213" s="12"/>
      <c r="J1213" s="12"/>
    </row>
    <row r="1214" spans="1:13" x14ac:dyDescent="0.3">
      <c r="I1214" s="12"/>
      <c r="J1214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CF8B-FCF8-41E4-9AA9-68AA868ED28B}">
  <dimension ref="A1:E31"/>
  <sheetViews>
    <sheetView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12.44140625" bestFit="1" customWidth="1"/>
    <col min="4" max="4" width="10.44140625" customWidth="1"/>
    <col min="5" max="5" width="12.5546875" customWidth="1"/>
  </cols>
  <sheetData>
    <row r="1" spans="1:5" ht="18" x14ac:dyDescent="0.35">
      <c r="A1" s="27" t="s">
        <v>1534</v>
      </c>
      <c r="B1" s="27"/>
      <c r="C1" s="27"/>
      <c r="D1" s="27"/>
      <c r="E1" s="27"/>
    </row>
    <row r="3" spans="1:5" x14ac:dyDescent="0.3">
      <c r="A3" s="3" t="s">
        <v>1531</v>
      </c>
      <c r="B3" t="s">
        <v>1533</v>
      </c>
    </row>
    <row r="4" spans="1:5" x14ac:dyDescent="0.3">
      <c r="A4" s="4" t="s">
        <v>22</v>
      </c>
      <c r="B4" s="10">
        <v>90187.489999999947</v>
      </c>
    </row>
    <row r="5" spans="1:5" x14ac:dyDescent="0.3">
      <c r="A5" s="4" t="s">
        <v>32</v>
      </c>
      <c r="B5" s="10">
        <v>92205.17</v>
      </c>
    </row>
    <row r="6" spans="1:5" x14ac:dyDescent="0.3">
      <c r="A6" s="4" t="s">
        <v>17</v>
      </c>
      <c r="B6" s="10">
        <v>121998.43999999999</v>
      </c>
    </row>
    <row r="7" spans="1:5" x14ac:dyDescent="0.3">
      <c r="A7" s="4" t="s">
        <v>28</v>
      </c>
      <c r="B7" s="10">
        <v>92101.639999999985</v>
      </c>
    </row>
    <row r="8" spans="1:5" x14ac:dyDescent="0.3">
      <c r="A8" s="4" t="s">
        <v>1532</v>
      </c>
      <c r="B8" s="10">
        <v>396492.73999999987</v>
      </c>
    </row>
    <row r="11" spans="1:5" ht="18" x14ac:dyDescent="0.35">
      <c r="A11" s="16" t="s">
        <v>1551</v>
      </c>
    </row>
    <row r="12" spans="1:5" x14ac:dyDescent="0.3">
      <c r="A12" s="4" t="s">
        <v>1540</v>
      </c>
      <c r="B12" t="s">
        <v>1541</v>
      </c>
    </row>
    <row r="13" spans="1:5" ht="15.6" x14ac:dyDescent="0.3">
      <c r="A13" s="18" t="s">
        <v>22</v>
      </c>
      <c r="B13" s="19">
        <v>90187.489999999947</v>
      </c>
    </row>
    <row r="16" spans="1:5" ht="18" x14ac:dyDescent="0.35">
      <c r="A16" s="27" t="s">
        <v>1535</v>
      </c>
      <c r="B16" s="27"/>
      <c r="C16" s="27"/>
      <c r="D16" s="27"/>
      <c r="E16" s="27"/>
    </row>
    <row r="18" spans="1:5" x14ac:dyDescent="0.3">
      <c r="A18" s="3" t="s">
        <v>1531</v>
      </c>
      <c r="B18" t="s">
        <v>1533</v>
      </c>
    </row>
    <row r="19" spans="1:5" x14ac:dyDescent="0.3">
      <c r="A19" s="4" t="s">
        <v>37</v>
      </c>
      <c r="B19" s="10">
        <v>39779.709999999992</v>
      </c>
    </row>
    <row r="20" spans="1:5" x14ac:dyDescent="0.3">
      <c r="A20" s="4" t="s">
        <v>41</v>
      </c>
      <c r="B20" s="10">
        <v>12521.489999999994</v>
      </c>
    </row>
    <row r="21" spans="1:5" x14ac:dyDescent="0.3">
      <c r="A21" s="4" t="s">
        <v>31</v>
      </c>
      <c r="B21" s="10">
        <v>7922.0099999999975</v>
      </c>
    </row>
    <row r="22" spans="1:5" x14ac:dyDescent="0.3">
      <c r="A22" s="4" t="s">
        <v>65</v>
      </c>
      <c r="B22" s="10">
        <v>3657.5000000000005</v>
      </c>
    </row>
    <row r="23" spans="1:5" x14ac:dyDescent="0.3">
      <c r="A23" s="4" t="s">
        <v>51</v>
      </c>
      <c r="B23" s="10">
        <v>206712.76</v>
      </c>
    </row>
    <row r="24" spans="1:5" x14ac:dyDescent="0.3">
      <c r="A24" s="4" t="s">
        <v>26</v>
      </c>
      <c r="B24" s="10">
        <v>15369.220000000005</v>
      </c>
    </row>
    <row r="25" spans="1:5" x14ac:dyDescent="0.3">
      <c r="A25" s="4" t="s">
        <v>15</v>
      </c>
      <c r="B25" s="10">
        <v>2443.1199999999994</v>
      </c>
    </row>
    <row r="26" spans="1:5" x14ac:dyDescent="0.3">
      <c r="A26" s="4" t="s">
        <v>20</v>
      </c>
      <c r="B26" s="10">
        <v>32811.11</v>
      </c>
    </row>
    <row r="27" spans="1:5" x14ac:dyDescent="0.3">
      <c r="A27" s="4" t="s">
        <v>92</v>
      </c>
      <c r="B27" s="10">
        <v>1704.8</v>
      </c>
    </row>
    <row r="28" spans="1:5" x14ac:dyDescent="0.3">
      <c r="A28" s="4" t="s">
        <v>56</v>
      </c>
      <c r="B28" s="10">
        <v>64277.799999999988</v>
      </c>
    </row>
    <row r="29" spans="1:5" ht="18" x14ac:dyDescent="0.35">
      <c r="A29" s="4" t="s">
        <v>110</v>
      </c>
      <c r="B29" s="10">
        <v>4610.4500000000007</v>
      </c>
      <c r="D29" s="16" t="s">
        <v>1551</v>
      </c>
    </row>
    <row r="30" spans="1:5" x14ac:dyDescent="0.3">
      <c r="A30" s="4" t="s">
        <v>54</v>
      </c>
      <c r="B30" s="10">
        <v>4682.7700000000013</v>
      </c>
      <c r="D30" s="6" t="s">
        <v>1540</v>
      </c>
      <c r="E30" s="7" t="s">
        <v>1542</v>
      </c>
    </row>
    <row r="31" spans="1:5" ht="28.8" x14ac:dyDescent="0.3">
      <c r="A31" s="4" t="s">
        <v>1532</v>
      </c>
      <c r="B31" s="10">
        <v>396492.74</v>
      </c>
      <c r="D31" s="8" t="s">
        <v>1539</v>
      </c>
      <c r="E31" s="11">
        <v>206712.76</v>
      </c>
    </row>
  </sheetData>
  <mergeCells count="2">
    <mergeCell ref="A1:E1"/>
    <mergeCell ref="A16:E16"/>
  </mergeCells>
  <pageMargins left="0.7" right="0.7" top="0.75" bottom="0.75" header="0.3" footer="0.3"/>
  <pageSetup orientation="portrait"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67ECC-44D4-497B-9042-005B404951B9}">
  <dimension ref="A1:F15"/>
  <sheetViews>
    <sheetView workbookViewId="0">
      <selection activeCell="H13" sqref="H13"/>
    </sheetView>
  </sheetViews>
  <sheetFormatPr defaultRowHeight="14.4" x14ac:dyDescent="0.3"/>
  <cols>
    <col min="1" max="1" width="12.33203125" bestFit="1" customWidth="1"/>
    <col min="2" max="2" width="14.109375" customWidth="1"/>
  </cols>
  <sheetData>
    <row r="1" spans="1:6" ht="18" x14ac:dyDescent="0.35">
      <c r="A1" s="27" t="s">
        <v>1554</v>
      </c>
      <c r="B1" s="27"/>
      <c r="C1" s="27"/>
      <c r="D1" s="27"/>
      <c r="E1" s="27"/>
    </row>
    <row r="3" spans="1:6" ht="15.6" x14ac:dyDescent="0.3">
      <c r="B3" s="15" t="s">
        <v>1551</v>
      </c>
    </row>
    <row r="5" spans="1:6" x14ac:dyDescent="0.3">
      <c r="B5" t="s">
        <v>1536</v>
      </c>
    </row>
    <row r="6" spans="1:6" ht="15.6" x14ac:dyDescent="0.3">
      <c r="B6" s="17">
        <v>65590.800000000017</v>
      </c>
    </row>
    <row r="9" spans="1:6" ht="18" x14ac:dyDescent="0.35">
      <c r="A9" s="27" t="s">
        <v>1555</v>
      </c>
      <c r="B9" s="27"/>
      <c r="C9" s="27"/>
      <c r="D9" s="27"/>
      <c r="E9" s="27"/>
      <c r="F9" s="27"/>
    </row>
    <row r="12" spans="1:6" ht="18" x14ac:dyDescent="0.35">
      <c r="B12" s="16" t="s">
        <v>1551</v>
      </c>
    </row>
    <row r="14" spans="1:6" ht="43.2" x14ac:dyDescent="0.3">
      <c r="B14" s="20" t="s">
        <v>1538</v>
      </c>
    </row>
    <row r="15" spans="1:6" ht="15.6" x14ac:dyDescent="0.3">
      <c r="B15" s="17">
        <v>24831.904499999997</v>
      </c>
    </row>
  </sheetData>
  <mergeCells count="2">
    <mergeCell ref="A1:E1"/>
    <mergeCell ref="A9:F9"/>
  </mergeCells>
  <phoneticPr fontId="4" type="noConversion"/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891E-B305-4CD0-9399-92BDFA338D8D}">
  <dimension ref="A1:D4"/>
  <sheetViews>
    <sheetView workbookViewId="0">
      <selection activeCell="C10" sqref="C10"/>
    </sheetView>
  </sheetViews>
  <sheetFormatPr defaultRowHeight="14.4" x14ac:dyDescent="0.3"/>
  <cols>
    <col min="1" max="1" width="17.44140625" customWidth="1"/>
    <col min="2" max="2" width="12.5546875" customWidth="1"/>
    <col min="3" max="3" width="11.109375" customWidth="1"/>
    <col min="4" max="4" width="10.33203125" customWidth="1"/>
  </cols>
  <sheetData>
    <row r="1" spans="1:4" x14ac:dyDescent="0.3">
      <c r="A1" s="26" t="s">
        <v>3</v>
      </c>
      <c r="B1" s="26" t="s">
        <v>10</v>
      </c>
      <c r="C1" s="26" t="s">
        <v>11</v>
      </c>
      <c r="D1" s="26" t="s">
        <v>1553</v>
      </c>
    </row>
    <row r="2" spans="1:4" x14ac:dyDescent="0.3">
      <c r="A2" s="21" t="s">
        <v>14</v>
      </c>
      <c r="B2" s="23">
        <v>199925.52</v>
      </c>
      <c r="C2" s="23">
        <v>32798.26</v>
      </c>
      <c r="D2" s="23">
        <v>585</v>
      </c>
    </row>
    <row r="3" spans="1:4" x14ac:dyDescent="0.3">
      <c r="A3" s="21" t="s">
        <v>40</v>
      </c>
      <c r="B3" s="23">
        <v>104184.91</v>
      </c>
      <c r="C3" s="23">
        <v>17397.3</v>
      </c>
      <c r="D3" s="23">
        <v>361</v>
      </c>
    </row>
    <row r="4" spans="1:4" x14ac:dyDescent="0.3">
      <c r="A4" s="21" t="s">
        <v>25</v>
      </c>
      <c r="B4" s="23">
        <v>92382.31</v>
      </c>
      <c r="C4" s="23">
        <v>15395.24</v>
      </c>
      <c r="D4" s="23">
        <v>254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96EC-B588-41BB-B7B1-07EC85F584A8}">
  <dimension ref="A1:B7"/>
  <sheetViews>
    <sheetView workbookViewId="0">
      <selection activeCell="D10" sqref="D10"/>
    </sheetView>
  </sheetViews>
  <sheetFormatPr defaultRowHeight="14.4" x14ac:dyDescent="0.3"/>
  <cols>
    <col min="1" max="1" width="18.33203125" customWidth="1"/>
    <col min="2" max="2" width="16.33203125" customWidth="1"/>
  </cols>
  <sheetData>
    <row r="1" spans="1:2" x14ac:dyDescent="0.3">
      <c r="A1" s="25" t="s">
        <v>1543</v>
      </c>
      <c r="B1" s="25" t="s">
        <v>1544</v>
      </c>
    </row>
    <row r="2" spans="1:2" x14ac:dyDescent="0.3">
      <c r="A2" s="21" t="s">
        <v>1545</v>
      </c>
      <c r="B2" s="22">
        <v>396492.74</v>
      </c>
    </row>
    <row r="3" spans="1:2" x14ac:dyDescent="0.3">
      <c r="A3" s="21" t="s">
        <v>1546</v>
      </c>
      <c r="B3" s="22">
        <v>65590.8</v>
      </c>
    </row>
    <row r="4" spans="1:2" x14ac:dyDescent="0.3">
      <c r="A4" s="21" t="s">
        <v>1547</v>
      </c>
      <c r="B4" s="23">
        <v>1200</v>
      </c>
    </row>
    <row r="5" spans="1:2" x14ac:dyDescent="0.3">
      <c r="A5" s="21" t="s">
        <v>1548</v>
      </c>
      <c r="B5" s="23">
        <v>2507</v>
      </c>
    </row>
    <row r="6" spans="1:2" x14ac:dyDescent="0.3">
      <c r="A6" s="21" t="s">
        <v>1549</v>
      </c>
      <c r="B6" s="22">
        <v>330.41061666666673</v>
      </c>
    </row>
    <row r="7" spans="1:2" x14ac:dyDescent="0.3">
      <c r="A7" s="21" t="s">
        <v>1550</v>
      </c>
      <c r="B7" s="24">
        <v>0.1654274930733915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7FDB-A8F1-4F71-8948-A8B8F92439AE}">
  <dimension ref="C7:G60"/>
  <sheetViews>
    <sheetView tabSelected="1" zoomScale="70" zoomScaleNormal="70" workbookViewId="0">
      <selection activeCell="G60" sqref="G60"/>
    </sheetView>
  </sheetViews>
  <sheetFormatPr defaultRowHeight="14.4" x14ac:dyDescent="0.3"/>
  <cols>
    <col min="10" max="10" width="9" customWidth="1"/>
  </cols>
  <sheetData>
    <row r="7" spans="3:3" x14ac:dyDescent="0.3">
      <c r="C7" s="13"/>
    </row>
    <row r="60" spans="7:7" x14ac:dyDescent="0.3">
      <c r="G60" s="14" t="s">
        <v>1552</v>
      </c>
    </row>
  </sheetData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Q1&amp;2</vt:lpstr>
      <vt:lpstr>Q3&amp;Q4</vt:lpstr>
      <vt:lpstr>Segment Analysis</vt:lpstr>
      <vt:lpstr>KPIs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2026-10-01T11:37:54Z</cp:lastPrinted>
  <dcterms:created xsi:type="dcterms:W3CDTF">2026-09-30T16:34:00Z</dcterms:created>
  <dcterms:modified xsi:type="dcterms:W3CDTF">2026-10-02T12:00:32Z</dcterms:modified>
</cp:coreProperties>
</file>